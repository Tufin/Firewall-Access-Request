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uven\Firewall-Access-Request\"/>
    </mc:Choice>
  </mc:AlternateContent>
  <bookViews>
    <workbookView xWindow="0" yWindow="0" windowWidth="25125" windowHeight="13425" tabRatio="844" activeTab="4"/>
  </bookViews>
  <sheets>
    <sheet name="Request" sheetId="1" r:id="rId1"/>
    <sheet name="Ticket Status" sheetId="10" r:id="rId2"/>
    <sheet name="Devices" sheetId="3" r:id="rId3"/>
    <sheet name="Rules" sheetId="4" r:id="rId4"/>
    <sheet name="Policy Analysis" sheetId="14" r:id="rId5"/>
    <sheet name="NAT Rules" sheetId="11" r:id="rId6"/>
    <sheet name="Network Objects" sheetId="5" r:id="rId7"/>
    <sheet name="Services" sheetId="6" r:id="rId8"/>
    <sheet name="Cisco ACL Stats" sheetId="7" r:id="rId9"/>
    <sheet name="Check Point Policy Stats" sheetId="8" r:id="rId10"/>
    <sheet name="Zone Based Firewall Stats" sheetId="9" r:id="rId11"/>
    <sheet name="Debug" sheetId="15" r:id="rId12"/>
    <sheet name="Settings" sheetId="2" r:id="rId13"/>
  </sheets>
  <functionGroups builtInGroupCount="18"/>
  <definedNames>
    <definedName name="_xlnm._FilterDatabase" localSheetId="5" hidden="1">'NAT Rules'!$A$8:$AL$8</definedName>
    <definedName name="_xlnm._FilterDatabase" localSheetId="6" hidden="1">'Network Objects'!$A$7:$AL$7</definedName>
    <definedName name="_xlnm._FilterDatabase" localSheetId="3" hidden="1">Rules!$A$7:$AL$7</definedName>
  </definedNames>
  <calcPr calcId="152511"/>
</workbook>
</file>

<file path=xl/calcChain.xml><?xml version="1.0" encoding="utf-8"?>
<calcChain xmlns="http://schemas.openxmlformats.org/spreadsheetml/2006/main">
  <c r="J9" i="10" l="1"/>
</calcChain>
</file>

<file path=xl/comments1.xml><?xml version="1.0" encoding="utf-8"?>
<comments xmlns="http://schemas.openxmlformats.org/spreadsheetml/2006/main">
  <authors>
    <author>Reuven Harrison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Enter one or more device ID to the right.</t>
        </r>
      </text>
    </comment>
    <comment ref="B3" authorId="0" shapeId="0">
      <text>
        <r>
          <rPr>
            <sz val="9"/>
            <color indexed="81"/>
            <rFont val="Tahoma"/>
            <family val="2"/>
          </rPr>
          <t>Set to TRUE to exclude rules with Any in the relevant field</t>
        </r>
      </text>
    </comment>
    <comment ref="C7" authorId="0" shapeId="0">
      <text>
        <r>
          <rPr>
            <b/>
            <sz val="9"/>
            <color indexed="81"/>
            <rFont val="Tahoma"/>
            <family val="2"/>
          </rPr>
          <t>Reuven Harrison:</t>
        </r>
        <r>
          <rPr>
            <sz val="9"/>
            <color indexed="81"/>
            <rFont val="Tahoma"/>
            <family val="2"/>
          </rPr>
          <t xml:space="preserve">
Accept, Drop or Any</t>
        </r>
      </text>
    </comment>
  </commentList>
</comments>
</file>

<file path=xl/sharedStrings.xml><?xml version="1.0" encoding="utf-8"?>
<sst xmlns="http://schemas.openxmlformats.org/spreadsheetml/2006/main" count="408" uniqueCount="203">
  <si>
    <t>Subject</t>
  </si>
  <si>
    <t>Requestor</t>
  </si>
  <si>
    <t>Workflow</t>
  </si>
  <si>
    <t>Domain</t>
  </si>
  <si>
    <t>Priority</t>
  </si>
  <si>
    <t>Normal</t>
  </si>
  <si>
    <t>Default</t>
  </si>
  <si>
    <t>IPP</t>
  </si>
  <si>
    <t>Port</t>
  </si>
  <si>
    <t>1.2.3.0/24</t>
  </si>
  <si>
    <t>UDP</t>
  </si>
  <si>
    <t>2.0.0.0/8</t>
  </si>
  <si>
    <t>I need access</t>
  </si>
  <si>
    <t>Field</t>
  </si>
  <si>
    <t>Value</t>
  </si>
  <si>
    <t>Explanation</t>
  </si>
  <si>
    <t>Source</t>
  </si>
  <si>
    <t>Destination</t>
  </si>
  <si>
    <t>Password</t>
  </si>
  <si>
    <t>Server</t>
  </si>
  <si>
    <t>This is the SecureChange server IP</t>
  </si>
  <si>
    <t>Username must be allowed to submit the ticket in the workflow</t>
  </si>
  <si>
    <t>Leave as "Default" unless you are using a multi-domain deployment</t>
  </si>
  <si>
    <t>ID</t>
  </si>
  <si>
    <t>Username</t>
  </si>
  <si>
    <t>This is the SecureTrack server IP</t>
  </si>
  <si>
    <t>A SecureTrack user</t>
  </si>
  <si>
    <t>After you set the password, you can hide the cell and lock the spreadsheet</t>
  </si>
  <si>
    <t>Model</t>
  </si>
  <si>
    <t>Vendor</t>
  </si>
  <si>
    <t>Name</t>
  </si>
  <si>
    <t>Device ID</t>
  </si>
  <si>
    <t>cp_uid</t>
  </si>
  <si>
    <t>uid</t>
  </si>
  <si>
    <t>order</t>
  </si>
  <si>
    <t>Action</t>
  </si>
  <si>
    <t>Service</t>
  </si>
  <si>
    <t>Comment</t>
  </si>
  <si>
    <t>id</t>
  </si>
  <si>
    <t>action</t>
  </si>
  <si>
    <t>comment</t>
  </si>
  <si>
    <t>external</t>
  </si>
  <si>
    <t>name</t>
  </si>
  <si>
    <t>binding/policy/name</t>
  </si>
  <si>
    <t>binding/from_zone/name</t>
  </si>
  <si>
    <t>binding/to_zone/name</t>
  </si>
  <si>
    <t>dst_network/display_name</t>
  </si>
  <si>
    <t>dest_networks_negated</t>
  </si>
  <si>
    <t>dst_service/display_name</t>
  </si>
  <si>
    <t>dest_services_negated</t>
  </si>
  <si>
    <t>install/display_name</t>
  </si>
  <si>
    <t>rule_number</t>
  </si>
  <si>
    <t>src_network/display_name</t>
  </si>
  <si>
    <t>src_networks_negated</t>
  </si>
  <si>
    <t>src_services_negated</t>
  </si>
  <si>
    <t>time/display_name</t>
  </si>
  <si>
    <t>track/level</t>
  </si>
  <si>
    <t>vpn/display_name</t>
  </si>
  <si>
    <t>Vendor UID</t>
  </si>
  <si>
    <t>Tufin UID</t>
  </si>
  <si>
    <t>Order #</t>
  </si>
  <si>
    <t>From Zone</t>
  </si>
  <si>
    <t>To Zone</t>
  </si>
  <si>
    <t>Cisco Interface</t>
  </si>
  <si>
    <t>Cisco Direction</t>
  </si>
  <si>
    <t>Cisco ACL</t>
  </si>
  <si>
    <t>binding/acl/interfaces/acl_name</t>
  </si>
  <si>
    <t>Destination Negated</t>
  </si>
  <si>
    <t>Service Negated</t>
  </si>
  <si>
    <t>Install On</t>
  </si>
  <si>
    <t>Number</t>
  </si>
  <si>
    <t>Source Negated</t>
  </si>
  <si>
    <t>Source Services Negated</t>
  </si>
  <si>
    <t>Time</t>
  </si>
  <si>
    <t>Log</t>
  </si>
  <si>
    <t>Global</t>
  </si>
  <si>
    <t>VPN</t>
  </si>
  <si>
    <t>documentation/record_set/businessOwnerEmail</t>
  </si>
  <si>
    <t>documentation/record_set/businessOwnerName</t>
  </si>
  <si>
    <t>documentation/record_set/ticketCr</t>
  </si>
  <si>
    <t>Business Owner email</t>
  </si>
  <si>
    <t>Business Owner Name</t>
  </si>
  <si>
    <t>SecureChange Ticket</t>
  </si>
  <si>
    <t>Device IDs (one per col):</t>
  </si>
  <si>
    <t>Device Name</t>
  </si>
  <si>
    <t>type</t>
  </si>
  <si>
    <t>IP</t>
  </si>
  <si>
    <t>Members</t>
  </si>
  <si>
    <t>Type</t>
  </si>
  <si>
    <t>first_ip</t>
  </si>
  <si>
    <t>last_ip</t>
  </si>
  <si>
    <t>ip</t>
  </si>
  <si>
    <t>netmask</t>
  </si>
  <si>
    <t>member/display_name</t>
  </si>
  <si>
    <t>Check Point Policy</t>
  </si>
  <si>
    <t>Firewall Name</t>
  </si>
  <si>
    <t>Firewall ID</t>
  </si>
  <si>
    <t>First IP</t>
  </si>
  <si>
    <t>Last IP</t>
  </si>
  <si>
    <t>Object ID</t>
  </si>
  <si>
    <t>Object Name</t>
  </si>
  <si>
    <t>Network Mask</t>
  </si>
  <si>
    <t>display_name</t>
  </si>
  <si>
    <t>min</t>
  </si>
  <si>
    <t>max</t>
  </si>
  <si>
    <t>negate</t>
  </si>
  <si>
    <t>protocol</t>
  </si>
  <si>
    <t>timeout</t>
  </si>
  <si>
    <t>Protocol</t>
  </si>
  <si>
    <t>Negated</t>
  </si>
  <si>
    <t>Last Port</t>
  </si>
  <si>
    <t>First Port</t>
  </si>
  <si>
    <t>Service Name</t>
  </si>
  <si>
    <t>Timeout</t>
  </si>
  <si>
    <t>ACL</t>
  </si>
  <si>
    <t>Direction</t>
  </si>
  <si>
    <t>Interface</t>
  </si>
  <si>
    <t>Interface IP</t>
  </si>
  <si>
    <t># of ACEs</t>
  </si>
  <si>
    <t>acl/name</t>
  </si>
  <si>
    <t>security_rule_count</t>
  </si>
  <si>
    <t>acl/interfaces/name | interface/name</t>
  </si>
  <si>
    <t>acl/interfaces/direction | interface/direction</t>
  </si>
  <si>
    <t>acl/interfaces/interface_ips/interface_ip/ip | interface/interface_ips/interface_ip/ip</t>
  </si>
  <si>
    <t>binding/acl/interfaces/name | binding/interface/name</t>
  </si>
  <si>
    <t>binding/acl/interfaces/direction | binding/interface/direction</t>
  </si>
  <si>
    <t>Management Name</t>
  </si>
  <si>
    <t>Management ID</t>
  </si>
  <si>
    <t>Policy</t>
  </si>
  <si>
    <t>policy/name</t>
  </si>
  <si>
    <t># of security rules</t>
  </si>
  <si>
    <t>Installation Targets</t>
  </si>
  <si>
    <t>policy/itg</t>
  </si>
  <si>
    <t>from_zone/name</t>
  </si>
  <si>
    <t>to_zone/name</t>
  </si>
  <si>
    <t>Disabled rules</t>
  </si>
  <si>
    <t>Unattached network objects</t>
  </si>
  <si>
    <t>Duplicate network objects</t>
  </si>
  <si>
    <t>Duplicate Services</t>
  </si>
  <si>
    <t>Empty Groups</t>
  </si>
  <si>
    <t>Fully shadowed and redundant rules</t>
  </si>
  <si>
    <t>Add Cleanup Stats (slower):</t>
  </si>
  <si>
    <t>SecureTrack (required for all sheets except Request)</t>
  </si>
  <si>
    <t>SecureChange (required for the Request sheet only)</t>
  </si>
  <si>
    <t>disabled</t>
  </si>
  <si>
    <t>Disabled</t>
  </si>
  <si>
    <t>documentation/tech_owner</t>
  </si>
  <si>
    <t>Technical Owner</t>
  </si>
  <si>
    <t>Application</t>
  </si>
  <si>
    <t>Application Owner</t>
  </si>
  <si>
    <t>Expiration Date</t>
  </si>
  <si>
    <t>documentation/record_set/expireDate</t>
  </si>
  <si>
    <t>documentation/secure_app_application/app_name</t>
  </si>
  <si>
    <t>documentation/secure_app_application/app_owner</t>
  </si>
  <si>
    <t>Rule ID</t>
  </si>
  <si>
    <t>Unused Objects</t>
  </si>
  <si>
    <t>yes/no</t>
  </si>
  <si>
    <t>status</t>
  </si>
  <si>
    <t>subject</t>
  </si>
  <si>
    <t>requester</t>
  </si>
  <si>
    <t>priority</t>
  </si>
  <si>
    <t>domain_name</t>
  </si>
  <si>
    <t>application_details/display_name</t>
  </si>
  <si>
    <t>workflow/name</t>
  </si>
  <si>
    <t>current_step/name</t>
  </si>
  <si>
    <t>Technical Design and Implementation</t>
  </si>
  <si>
    <t>Ticket ID</t>
  </si>
  <si>
    <t>Requester</t>
  </si>
  <si>
    <t>Status</t>
  </si>
  <si>
    <t>Application (SecureApp)</t>
  </si>
  <si>
    <t>Current Step</t>
  </si>
  <si>
    <t>First Ticket to retrieve:</t>
  </si>
  <si>
    <t>Number of tickets to retrieve:</t>
  </si>
  <si>
    <t>Verifier step name:</t>
  </si>
  <si>
    <t>Verification</t>
  </si>
  <si>
    <t>`</t>
  </si>
  <si>
    <t>orig_src_network/display_name</t>
  </si>
  <si>
    <t>Original Source</t>
  </si>
  <si>
    <t>documentation/comment</t>
  </si>
  <si>
    <t>Description</t>
  </si>
  <si>
    <t>192.168.1.1</t>
  </si>
  <si>
    <t>172.16.1.8</t>
  </si>
  <si>
    <t>TCP</t>
  </si>
  <si>
    <t>10.100.200.204</t>
  </si>
  <si>
    <t>Accept</t>
  </si>
  <si>
    <t>Any</t>
  </si>
  <si>
    <t>Exclude Any</t>
  </si>
  <si>
    <t>Value 1</t>
  </si>
  <si>
    <t>Value 2</t>
  </si>
  <si>
    <t>Value 3</t>
  </si>
  <si>
    <t>…</t>
  </si>
  <si>
    <t>tcp:80</t>
  </si>
  <si>
    <t>tcp:23</t>
  </si>
  <si>
    <t>192.168.1.0/24</t>
  </si>
  <si>
    <t>Debug Enabled</t>
  </si>
  <si>
    <t>Query</t>
  </si>
  <si>
    <t>Request XML</t>
  </si>
  <si>
    <t>Response XML</t>
  </si>
  <si>
    <t>field_names:</t>
  </si>
  <si>
    <t>user</t>
  </si>
  <si>
    <t>&lt;enter the workflow name&gt;</t>
  </si>
  <si>
    <t>password</t>
  </si>
  <si>
    <t>Must be a valid workflow name (only needed for submitting tickets in SecureChange)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</si>
</sst>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vertical="top"/>
    </xf>
    <xf numFmtId="0" fontId="1" fillId="2" borderId="0" xfId="0" applyFont="1" applyFill="1"/>
    <xf numFmtId="0" fontId="0" fillId="0" borderId="0" xfId="0" applyFont="1"/>
    <xf numFmtId="0" fontId="0" fillId="0" borderId="0" xfId="0" applyAlignment="1">
      <alignment wrapText="1"/>
    </xf>
    <xf numFmtId="0" fontId="2" fillId="0" borderId="0" xfId="0" applyFont="1"/>
    <xf numFmtId="0" fontId="3" fillId="0" borderId="0" xfId="0" applyFont="1"/>
    <xf numFmtId="0" fontId="0" fillId="0" borderId="0" xfId="0" applyBorder="1"/>
    <xf numFmtId="0" fontId="0" fillId="0" borderId="2" xfId="0" applyBorder="1"/>
    <xf numFmtId="0" fontId="1" fillId="0" borderId="1" xfId="0" applyFont="1" applyBorder="1"/>
    <xf numFmtId="0" fontId="1" fillId="0" borderId="0" xfId="0" applyFont="1" applyBorder="1"/>
    <xf numFmtId="0" fontId="1" fillId="0" borderId="2" xfId="0" applyFont="1" applyBorder="1"/>
    <xf numFmtId="0" fontId="0" fillId="0" borderId="0" xfId="0" applyFill="1" applyBorder="1"/>
    <xf numFmtId="0" fontId="1" fillId="0" borderId="0" xfId="0" applyFont="1" applyAlignment="1">
      <alignment vertical="top"/>
    </xf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47626</xdr:colOff>
      <xdr:row>0</xdr:row>
      <xdr:rowOff>133350</xdr:rowOff>
    </xdr:from>
    <xdr:to>
      <xdr:col>3</xdr:col>
      <xdr:colOff>257176</xdr:colOff>
      <xdr:row>2</xdr:row>
      <xdr:rowOff>104775</xdr:rowOff>
    </xdr:to>
    <xdr:sp macro="[0]!SubmitAccessRequest" textlink="">
      <xdr:nvSpPr>
        <xdr:cNvPr id="2" name="Rounded Rectangle 1"/>
        <xdr:cNvSpPr/>
      </xdr:nvSpPr>
      <xdr:spPr>
        <a:xfrm>
          <a:off x="4514851" y="1333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  <xdr:twoCellAnchor>
    <xdr:from>
      <xdr:col>4</xdr:col>
      <xdr:colOff>304800</xdr:colOff>
      <xdr:row>1</xdr:row>
      <xdr:rowOff>76199</xdr:rowOff>
    </xdr:from>
    <xdr:to>
      <xdr:col>13</xdr:col>
      <xdr:colOff>514350</xdr:colOff>
      <xdr:row>12</xdr:row>
      <xdr:rowOff>57150</xdr:rowOff>
    </xdr:to>
    <xdr:sp macro="" textlink="">
      <xdr:nvSpPr>
        <xdr:cNvPr id="4" name="Rectangle 3"/>
        <xdr:cNvSpPr/>
      </xdr:nvSpPr>
      <xdr:spPr>
        <a:xfrm>
          <a:off x="6238875" y="266699"/>
          <a:ext cx="5695950" cy="207645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submit access requests in SecureChange.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This form and the attched VBA script are designed for a workflow with a single mandatory field: access request.</a:t>
          </a:r>
        </a:p>
        <a:p>
          <a:pPr algn="l"/>
          <a:r>
            <a:rPr lang="en-US" sz="1400" baseline="0">
              <a:solidFill>
                <a:srgbClr val="FFFF00"/>
              </a:solidFill>
            </a:rPr>
            <a:t>If your workflow contains additional fields you need to adapt the spreadsheet and the script.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You can also use this to implement changes from the Automatic Policy Generator (APG).</a:t>
          </a:r>
        </a:p>
        <a:p>
          <a:pPr algn="l"/>
          <a:endParaRPr lang="en-US" sz="14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1571625</xdr:colOff>
      <xdr:row>0</xdr:row>
      <xdr:rowOff>123825</xdr:rowOff>
    </xdr:from>
    <xdr:to>
      <xdr:col>3</xdr:col>
      <xdr:colOff>3048001</xdr:colOff>
      <xdr:row>2</xdr:row>
      <xdr:rowOff>95250</xdr:rowOff>
    </xdr:to>
    <xdr:sp macro="[0]!GetTickets" textlink="">
      <xdr:nvSpPr>
        <xdr:cNvPr id="3" name="Rounded Rectangle 2"/>
        <xdr:cNvSpPr/>
      </xdr:nvSpPr>
      <xdr:spPr>
        <a:xfrm>
          <a:off x="4391025" y="123825"/>
          <a:ext cx="1476376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Tickets</a:t>
          </a:r>
        </a:p>
      </xdr:txBody>
    </xdr:sp>
    <xdr:clientData/>
  </xdr:twoCellAnchor>
  <xdr:twoCellAnchor>
    <xdr:from>
      <xdr:col>4</xdr:col>
      <xdr:colOff>542925</xdr:colOff>
      <xdr:row>0</xdr:row>
      <xdr:rowOff>180975</xdr:rowOff>
    </xdr:from>
    <xdr:to>
      <xdr:col>8</xdr:col>
      <xdr:colOff>1704975</xdr:colOff>
      <xdr:row>2</xdr:row>
      <xdr:rowOff>133350</xdr:rowOff>
    </xdr:to>
    <xdr:sp macro="" textlink="">
      <xdr:nvSpPr>
        <xdr:cNvPr id="4" name="Rectangle 3"/>
        <xdr:cNvSpPr/>
      </xdr:nvSpPr>
      <xdr:spPr>
        <a:xfrm>
          <a:off x="6886575" y="180975"/>
          <a:ext cx="540067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tickets in SecureChange.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409574</xdr:colOff>
      <xdr:row>2</xdr:row>
      <xdr:rowOff>47625</xdr:rowOff>
    </xdr:from>
    <xdr:to>
      <xdr:col>1</xdr:col>
      <xdr:colOff>123825</xdr:colOff>
      <xdr:row>4</xdr:row>
      <xdr:rowOff>19050</xdr:rowOff>
    </xdr:to>
    <xdr:sp macro="[0]!GetDevices" textlink="">
      <xdr:nvSpPr>
        <xdr:cNvPr id="4" name="Rounded Rectangle 3"/>
        <xdr:cNvSpPr/>
      </xdr:nvSpPr>
      <xdr:spPr>
        <a:xfrm>
          <a:off x="409574" y="428625"/>
          <a:ext cx="1447801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Devices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0</xdr:col>
      <xdr:colOff>1228725</xdr:colOff>
      <xdr:row>3</xdr:row>
      <xdr:rowOff>152400</xdr:rowOff>
    </xdr:to>
    <xdr:sp macro="[0]!GetRules" textlink="">
      <xdr:nvSpPr>
        <xdr:cNvPr id="4" name="Rounded Rectangle 3"/>
        <xdr:cNvSpPr/>
      </xdr:nvSpPr>
      <xdr:spPr>
        <a:xfrm>
          <a:off x="171450" y="352425"/>
          <a:ext cx="1057275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Rules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123826</xdr:colOff>
      <xdr:row>3</xdr:row>
      <xdr:rowOff>57150</xdr:rowOff>
    </xdr:from>
    <xdr:to>
      <xdr:col>9</xdr:col>
      <xdr:colOff>581026</xdr:colOff>
      <xdr:row>5</xdr:row>
      <xdr:rowOff>28575</xdr:rowOff>
    </xdr:to>
    <xdr:sp macro="[0]!PolicyAnalysis" textlink="">
      <xdr:nvSpPr>
        <xdr:cNvPr id="2" name="Rounded Rectangle 1"/>
        <xdr:cNvSpPr/>
      </xdr:nvSpPr>
      <xdr:spPr>
        <a:xfrm>
          <a:off x="6924676" y="628650"/>
          <a:ext cx="1066800" cy="3524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Submit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1</xdr:row>
      <xdr:rowOff>161925</xdr:rowOff>
    </xdr:from>
    <xdr:to>
      <xdr:col>1</xdr:col>
      <xdr:colOff>66675</xdr:colOff>
      <xdr:row>3</xdr:row>
      <xdr:rowOff>152400</xdr:rowOff>
    </xdr:to>
    <xdr:sp macro="[0]!GetNatRules" textlink="">
      <xdr:nvSpPr>
        <xdr:cNvPr id="2" name="Rounded Rectangle 1"/>
        <xdr:cNvSpPr/>
      </xdr:nvSpPr>
      <xdr:spPr>
        <a:xfrm>
          <a:off x="171450" y="352425"/>
          <a:ext cx="139065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NAT Rules</a:t>
          </a:r>
        </a:p>
      </xdr:txBody>
    </xdr:sp>
    <xdr:clientData/>
  </xdr:twoCellAnchor>
  <xdr:twoCellAnchor>
    <xdr:from>
      <xdr:col>3</xdr:col>
      <xdr:colOff>600075</xdr:colOff>
      <xdr:row>1</xdr:row>
      <xdr:rowOff>95250</xdr:rowOff>
    </xdr:from>
    <xdr:to>
      <xdr:col>9</xdr:col>
      <xdr:colOff>457200</xdr:colOff>
      <xdr:row>3</xdr:row>
      <xdr:rowOff>66675</xdr:rowOff>
    </xdr:to>
    <xdr:sp macro="" textlink="">
      <xdr:nvSpPr>
        <xdr:cNvPr id="3" name="Rectangle 2"/>
        <xdr:cNvSpPr/>
      </xdr:nvSpPr>
      <xdr:spPr>
        <a:xfrm>
          <a:off x="3743325" y="285750"/>
          <a:ext cx="511492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>
              <a:solidFill>
                <a:srgbClr val="FFFF00"/>
              </a:solidFill>
            </a:rPr>
            <a:t>Note: this sheet is still under development. Please help finish it off.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1</xdr:row>
      <xdr:rowOff>95251</xdr:rowOff>
    </xdr:from>
    <xdr:to>
      <xdr:col>1</xdr:col>
      <xdr:colOff>180975</xdr:colOff>
      <xdr:row>3</xdr:row>
      <xdr:rowOff>19051</xdr:rowOff>
    </xdr:to>
    <xdr:sp macro="[0]!GetNetworkObjects" textlink="">
      <xdr:nvSpPr>
        <xdr:cNvPr id="2" name="Rounded Rectangle 1"/>
        <xdr:cNvSpPr/>
      </xdr:nvSpPr>
      <xdr:spPr>
        <a:xfrm>
          <a:off x="457200" y="285751"/>
          <a:ext cx="13335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Objects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1</xdr:row>
      <xdr:rowOff>123825</xdr:rowOff>
    </xdr:from>
    <xdr:to>
      <xdr:col>1</xdr:col>
      <xdr:colOff>304800</xdr:colOff>
      <xdr:row>3</xdr:row>
      <xdr:rowOff>47625</xdr:rowOff>
    </xdr:to>
    <xdr:sp macro="[0]!GetServices" textlink="">
      <xdr:nvSpPr>
        <xdr:cNvPr id="2" name="Rounded Rectangle 1"/>
        <xdr:cNvSpPr/>
      </xdr:nvSpPr>
      <xdr:spPr>
        <a:xfrm>
          <a:off x="419100" y="314325"/>
          <a:ext cx="140970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Services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</xdr:row>
      <xdr:rowOff>123825</xdr:rowOff>
    </xdr:from>
    <xdr:to>
      <xdr:col>1</xdr:col>
      <xdr:colOff>457200</xdr:colOff>
      <xdr:row>3</xdr:row>
      <xdr:rowOff>47625</xdr:rowOff>
    </xdr:to>
    <xdr:sp macro="[0]!GetAcls" textlink="">
      <xdr:nvSpPr>
        <xdr:cNvPr id="2" name="Rounded Rectangle 1"/>
        <xdr:cNvSpPr/>
      </xdr:nvSpPr>
      <xdr:spPr>
        <a:xfrm>
          <a:off x="285750" y="314325"/>
          <a:ext cx="16954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ACL Statistics</a:t>
          </a:r>
        </a:p>
      </xdr:txBody>
    </xdr:sp>
    <xdr:clientData/>
  </xdr:twoCellAnchor>
  <xdr:twoCellAnchor>
    <xdr:from>
      <xdr:col>4</xdr:col>
      <xdr:colOff>1057275</xdr:colOff>
      <xdr:row>1</xdr:row>
      <xdr:rowOff>66675</xdr:rowOff>
    </xdr:from>
    <xdr:to>
      <xdr:col>9</xdr:col>
      <xdr:colOff>523875</xdr:colOff>
      <xdr:row>3</xdr:row>
      <xdr:rowOff>38100</xdr:rowOff>
    </xdr:to>
    <xdr:sp macro="" textlink="">
      <xdr:nvSpPr>
        <xdr:cNvPr id="3" name="Rectangle 2"/>
        <xdr:cNvSpPr/>
      </xdr:nvSpPr>
      <xdr:spPr>
        <a:xfrm>
          <a:off x="7143750" y="257175"/>
          <a:ext cx="5019675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ACLs in Cisco devices.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285749</xdr:colOff>
      <xdr:row>1</xdr:row>
      <xdr:rowOff>123825</xdr:rowOff>
    </xdr:from>
    <xdr:to>
      <xdr:col>1</xdr:col>
      <xdr:colOff>581024</xdr:colOff>
      <xdr:row>3</xdr:row>
      <xdr:rowOff>47625</xdr:rowOff>
    </xdr:to>
    <xdr:sp macro="[0]!GetPolicies" textlink="">
      <xdr:nvSpPr>
        <xdr:cNvPr id="2" name="Rounded Rectangle 1"/>
        <xdr:cNvSpPr/>
      </xdr:nvSpPr>
      <xdr:spPr>
        <a:xfrm>
          <a:off x="285749" y="314325"/>
          <a:ext cx="1819275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342901</xdr:colOff>
      <xdr:row>1</xdr:row>
      <xdr:rowOff>133350</xdr:rowOff>
    </xdr:from>
    <xdr:to>
      <xdr:col>2</xdr:col>
      <xdr:colOff>247651</xdr:colOff>
      <xdr:row>3</xdr:row>
      <xdr:rowOff>57150</xdr:rowOff>
    </xdr:to>
    <xdr:sp macro="[0]!GetZonePolicies" textlink="">
      <xdr:nvSpPr>
        <xdr:cNvPr id="2" name="Rounded Rectangle 1"/>
        <xdr:cNvSpPr/>
      </xdr:nvSpPr>
      <xdr:spPr>
        <a:xfrm>
          <a:off x="342901" y="323850"/>
          <a:ext cx="2038350" cy="3048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aseline="0"/>
            <a:t>Get Policy Statistics</a:t>
          </a:r>
        </a:p>
      </xdr:txBody>
    </xdr:sp>
    <xdr:clientData/>
  </xdr:twoCellAnchor>
  <xdr:twoCellAnchor>
    <xdr:from>
      <xdr:col>6</xdr:col>
      <xdr:colOff>285750</xdr:colOff>
      <xdr:row>1</xdr:row>
      <xdr:rowOff>104775</xdr:rowOff>
    </xdr:from>
    <xdr:to>
      <xdr:col>14</xdr:col>
      <xdr:colOff>171450</xdr:colOff>
      <xdr:row>4</xdr:row>
      <xdr:rowOff>95250</xdr:rowOff>
    </xdr:to>
    <xdr:sp macro="" textlink="">
      <xdr:nvSpPr>
        <xdr:cNvPr id="3" name="Rectangle 2"/>
        <xdr:cNvSpPr/>
      </xdr:nvSpPr>
      <xdr:spPr>
        <a:xfrm>
          <a:off x="7705725" y="295275"/>
          <a:ext cx="5400675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Use this sheet to retrieve information about security policies in zone-based firewalls such as Palo Alto Networks, Juniper and Fortinet.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15</xdr:row>
      <xdr:rowOff>104775</xdr:rowOff>
    </xdr:from>
    <xdr:to>
      <xdr:col>2</xdr:col>
      <xdr:colOff>2562225</xdr:colOff>
      <xdr:row>17</xdr:row>
      <xdr:rowOff>57150</xdr:rowOff>
    </xdr:to>
    <xdr:sp macro="" textlink="">
      <xdr:nvSpPr>
        <xdr:cNvPr id="2" name="Rectangle 1"/>
        <xdr:cNvSpPr/>
      </xdr:nvSpPr>
      <xdr:spPr>
        <a:xfrm>
          <a:off x="885825" y="3105150"/>
          <a:ext cx="4552950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aseline="0"/>
            <a:t>You must set the values here before using the other sheets.</a:t>
          </a:r>
        </a:p>
        <a:p>
          <a:pPr algn="l"/>
          <a:endParaRPr lang="en-US" sz="14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rtlCol="0" anchor="ctr"/>
      <a:lstStyle>
        <a:defPPr algn="ctr">
          <a:defRPr sz="1400" baseline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workbookViewId="0"/>
  </sheetViews>
  <sheetFormatPr defaultRowHeight="15" x14ac:dyDescent="0.25"/>
  <cols>
    <col min="1" max="1" width="35.28515625" bestFit="1" customWidth="1"/>
    <col min="2" max="2" width="31.7109375" bestFit="1" customWidth="1"/>
    <col min="3" max="3" width="12.85546875" customWidth="1"/>
  </cols>
  <sheetData>
    <row r="1" spans="1:4" s="2" customFormat="1" x14ac:dyDescent="0.25">
      <c r="A1" s="1" t="s">
        <v>13</v>
      </c>
      <c r="B1" s="1" t="s">
        <v>14</v>
      </c>
      <c r="C1"/>
      <c r="D1"/>
    </row>
    <row r="2" spans="1:4" x14ac:dyDescent="0.25">
      <c r="A2" t="s">
        <v>4</v>
      </c>
      <c r="B2" t="s">
        <v>5</v>
      </c>
    </row>
    <row r="3" spans="1:4" x14ac:dyDescent="0.25">
      <c r="A3" t="s">
        <v>0</v>
      </c>
      <c r="B3" t="s">
        <v>12</v>
      </c>
    </row>
    <row r="10" spans="1:4" s="1" customFormat="1" x14ac:dyDescent="0.25">
      <c r="A10" s="1" t="s">
        <v>16</v>
      </c>
      <c r="B10" s="1" t="s">
        <v>17</v>
      </c>
      <c r="C10" s="1" t="s">
        <v>8</v>
      </c>
      <c r="D10" s="1" t="s">
        <v>7</v>
      </c>
    </row>
    <row r="11" spans="1:4" x14ac:dyDescent="0.25">
      <c r="A11" t="s">
        <v>9</v>
      </c>
      <c r="B11" t="s">
        <v>11</v>
      </c>
      <c r="C11">
        <v>53</v>
      </c>
      <c r="D11" t="s">
        <v>10</v>
      </c>
    </row>
    <row r="12" spans="1:4" x14ac:dyDescent="0.25">
      <c r="A12" t="s">
        <v>180</v>
      </c>
      <c r="B12" t="s">
        <v>181</v>
      </c>
      <c r="C12">
        <v>80</v>
      </c>
      <c r="D12" t="s">
        <v>182</v>
      </c>
    </row>
    <row r="20" spans="5:5" x14ac:dyDescent="0.25">
      <c r="E20" s="1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10"/>
  <sheetViews>
    <sheetView workbookViewId="0"/>
  </sheetViews>
  <sheetFormatPr defaultRowHeight="15" x14ac:dyDescent="0.25"/>
  <cols>
    <col min="1" max="1" width="27.28515625" customWidth="1"/>
    <col min="2" max="2" width="6.42578125" customWidth="1"/>
    <col min="3" max="3" width="8.5703125" bestFit="1" customWidth="1"/>
    <col min="4" max="4" width="52.85546875" customWidth="1"/>
    <col min="5" max="5" width="10.42578125" bestFit="1" customWidth="1"/>
    <col min="6" max="6" width="7.5703125" bestFit="1" customWidth="1"/>
    <col min="7" max="7" width="15.5703125" bestFit="1" customWidth="1"/>
    <col min="8" max="8" width="30" customWidth="1"/>
    <col min="9" max="9" width="35.5703125" customWidth="1"/>
    <col min="10" max="10" width="23.28515625" customWidth="1"/>
    <col min="11" max="11" width="13.85546875" bestFit="1" customWidth="1"/>
    <col min="12" max="12" width="35" bestFit="1" customWidth="1"/>
  </cols>
  <sheetData>
    <row r="1" spans="1:12" x14ac:dyDescent="0.25">
      <c r="A1" s="1" t="s">
        <v>171</v>
      </c>
      <c r="B1">
        <v>80</v>
      </c>
    </row>
    <row r="2" spans="1:12" x14ac:dyDescent="0.25">
      <c r="A2" s="1" t="s">
        <v>172</v>
      </c>
      <c r="B2">
        <v>1</v>
      </c>
    </row>
    <row r="3" spans="1:12" x14ac:dyDescent="0.25">
      <c r="A3" s="1" t="s">
        <v>173</v>
      </c>
      <c r="B3" t="s">
        <v>165</v>
      </c>
    </row>
    <row r="9" spans="1:12" x14ac:dyDescent="0.25">
      <c r="A9" s="15" t="s">
        <v>198</v>
      </c>
      <c r="C9" t="s">
        <v>38</v>
      </c>
      <c r="D9" t="s">
        <v>158</v>
      </c>
      <c r="E9" t="s">
        <v>159</v>
      </c>
      <c r="F9" t="s">
        <v>160</v>
      </c>
      <c r="G9" t="s">
        <v>157</v>
      </c>
      <c r="H9" t="s">
        <v>163</v>
      </c>
      <c r="I9" t="s">
        <v>164</v>
      </c>
      <c r="J9" t="str">
        <f>"steps/step[name='"&amp;B3&amp;"']/tasks/task/fields/field/access_request/*[name()='order' or name()='verifier_result']"</f>
        <v>steps/step[name='Technical Design and Implementation']/tasks/task/fields/field/access_request/*[name()='order' or name()='verifier_result']</v>
      </c>
      <c r="K9" t="s">
        <v>161</v>
      </c>
      <c r="L9" t="s">
        <v>162</v>
      </c>
    </row>
    <row r="10" spans="1:12" s="1" customFormat="1" x14ac:dyDescent="0.25">
      <c r="C10" s="1" t="s">
        <v>166</v>
      </c>
      <c r="D10" s="1" t="s">
        <v>0</v>
      </c>
      <c r="E10" s="1" t="s">
        <v>167</v>
      </c>
      <c r="F10" s="1" t="s">
        <v>4</v>
      </c>
      <c r="G10" s="1" t="s">
        <v>168</v>
      </c>
      <c r="H10" s="1" t="s">
        <v>2</v>
      </c>
      <c r="I10" s="1" t="s">
        <v>170</v>
      </c>
      <c r="J10" s="1" t="s">
        <v>174</v>
      </c>
      <c r="K10" s="1" t="s">
        <v>3</v>
      </c>
      <c r="L10" s="1" t="s">
        <v>169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/>
  </sheetViews>
  <sheetFormatPr defaultRowHeight="15" x14ac:dyDescent="0.25"/>
  <cols>
    <col min="1" max="1" width="26" bestFit="1" customWidth="1"/>
    <col min="2" max="2" width="19.42578125" bestFit="1" customWidth="1"/>
    <col min="3" max="3" width="17.42578125" bestFit="1" customWidth="1"/>
    <col min="4" max="4" width="30.140625" customWidth="1"/>
    <col min="5" max="5" width="17.28515625" bestFit="1" customWidth="1"/>
    <col min="6" max="6" width="28" customWidth="1"/>
    <col min="7" max="7" width="24.5703125" bestFit="1" customWidth="1"/>
    <col min="8" max="8" width="17.42578125" bestFit="1" customWidth="1"/>
    <col min="9" max="9" width="13.5703125" bestFit="1" customWidth="1"/>
    <col min="10" max="10" width="34" bestFit="1" customWidth="1"/>
    <col min="11" max="11" width="15.140625" bestFit="1" customWidth="1"/>
  </cols>
  <sheetData>
    <row r="1" spans="1:11" x14ac:dyDescent="0.25">
      <c r="A1" s="1" t="s">
        <v>141</v>
      </c>
      <c r="B1" t="s">
        <v>156</v>
      </c>
    </row>
    <row r="6" spans="1:11" s="1" customFormat="1" x14ac:dyDescent="0.25">
      <c r="A6" s="1" t="s">
        <v>23</v>
      </c>
      <c r="B6" s="1" t="s">
        <v>28</v>
      </c>
      <c r="C6" s="1" t="s">
        <v>29</v>
      </c>
      <c r="D6" s="1" t="s">
        <v>30</v>
      </c>
      <c r="E6" s="1" t="s">
        <v>135</v>
      </c>
      <c r="F6" s="1" t="s">
        <v>136</v>
      </c>
      <c r="G6" s="1" t="s">
        <v>137</v>
      </c>
      <c r="H6" s="1" t="s">
        <v>138</v>
      </c>
      <c r="I6" s="1" t="s">
        <v>139</v>
      </c>
      <c r="J6" s="1" t="s">
        <v>140</v>
      </c>
      <c r="K6" s="1" t="s">
        <v>155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L9"/>
  <sheetViews>
    <sheetView workbookViewId="0">
      <pane ySplit="106500" topLeftCell="A355"/>
      <selection pane="bottomLeft" activeCell="G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6" spans="1:38" x14ac:dyDescent="0.25">
      <c r="A6" s="15" t="s">
        <v>198</v>
      </c>
      <c r="C6" t="s">
        <v>38</v>
      </c>
      <c r="D6" t="s">
        <v>32</v>
      </c>
      <c r="E6" t="s">
        <v>33</v>
      </c>
      <c r="F6" t="s">
        <v>34</v>
      </c>
      <c r="G6" t="s">
        <v>51</v>
      </c>
      <c r="H6" t="s">
        <v>42</v>
      </c>
      <c r="I6" t="s">
        <v>43</v>
      </c>
      <c r="J6" t="s">
        <v>124</v>
      </c>
      <c r="K6" t="s">
        <v>125</v>
      </c>
      <c r="L6" t="s">
        <v>66</v>
      </c>
      <c r="M6" t="s">
        <v>44</v>
      </c>
      <c r="N6" t="s">
        <v>45</v>
      </c>
      <c r="O6" t="s">
        <v>52</v>
      </c>
      <c r="P6" t="s">
        <v>53</v>
      </c>
      <c r="Q6" t="s">
        <v>54</v>
      </c>
      <c r="R6" t="s">
        <v>46</v>
      </c>
      <c r="S6" t="s">
        <v>47</v>
      </c>
      <c r="T6" t="s">
        <v>48</v>
      </c>
      <c r="U6" t="s">
        <v>49</v>
      </c>
      <c r="V6" t="s">
        <v>39</v>
      </c>
      <c r="W6" t="s">
        <v>56</v>
      </c>
      <c r="X6" t="s">
        <v>144</v>
      </c>
      <c r="Y6" t="s">
        <v>41</v>
      </c>
      <c r="Z6" t="s">
        <v>40</v>
      </c>
      <c r="AA6" t="s">
        <v>50</v>
      </c>
      <c r="AB6" t="s">
        <v>55</v>
      </c>
      <c r="AC6" t="s">
        <v>57</v>
      </c>
      <c r="AD6" t="s">
        <v>77</v>
      </c>
      <c r="AE6" t="s">
        <v>78</v>
      </c>
      <c r="AF6" t="s">
        <v>79</v>
      </c>
      <c r="AG6" t="s">
        <v>151</v>
      </c>
      <c r="AH6" t="s">
        <v>146</v>
      </c>
      <c r="AI6" t="s">
        <v>152</v>
      </c>
      <c r="AJ6" t="s">
        <v>153</v>
      </c>
      <c r="AK6" t="s">
        <v>178</v>
      </c>
    </row>
    <row r="7" spans="1:38" s="1" customFormat="1" x14ac:dyDescent="0.25">
      <c r="A7" s="1" t="s">
        <v>95</v>
      </c>
      <c r="B7" s="1" t="s">
        <v>96</v>
      </c>
      <c r="C7" s="1" t="s">
        <v>154</v>
      </c>
      <c r="D7" s="1" t="s">
        <v>58</v>
      </c>
      <c r="E7" s="1" t="s">
        <v>59</v>
      </c>
      <c r="F7" s="1" t="s">
        <v>60</v>
      </c>
      <c r="G7" s="1" t="s">
        <v>70</v>
      </c>
      <c r="H7" s="1" t="s">
        <v>30</v>
      </c>
      <c r="I7" s="1" t="s">
        <v>94</v>
      </c>
      <c r="J7" s="1" t="s">
        <v>63</v>
      </c>
      <c r="K7" s="1" t="s">
        <v>64</v>
      </c>
      <c r="L7" s="1" t="s">
        <v>65</v>
      </c>
      <c r="M7" s="1" t="s">
        <v>61</v>
      </c>
      <c r="N7" s="1" t="s">
        <v>62</v>
      </c>
      <c r="O7" s="1" t="s">
        <v>16</v>
      </c>
      <c r="P7" s="1" t="s">
        <v>71</v>
      </c>
      <c r="Q7" s="1" t="s">
        <v>72</v>
      </c>
      <c r="R7" s="1" t="s">
        <v>17</v>
      </c>
      <c r="S7" s="1" t="s">
        <v>67</v>
      </c>
      <c r="T7" s="1" t="s">
        <v>36</v>
      </c>
      <c r="U7" s="1" t="s">
        <v>68</v>
      </c>
      <c r="V7" s="1" t="s">
        <v>35</v>
      </c>
      <c r="W7" s="1" t="s">
        <v>74</v>
      </c>
      <c r="X7" s="1" t="s">
        <v>145</v>
      </c>
      <c r="Y7" s="1" t="s">
        <v>75</v>
      </c>
      <c r="Z7" s="1" t="s">
        <v>37</v>
      </c>
      <c r="AA7" s="1" t="s">
        <v>69</v>
      </c>
      <c r="AB7" s="1" t="s">
        <v>73</v>
      </c>
      <c r="AC7" s="1" t="s">
        <v>76</v>
      </c>
      <c r="AD7" s="1" t="s">
        <v>80</v>
      </c>
      <c r="AE7" s="1" t="s">
        <v>81</v>
      </c>
      <c r="AF7" s="1" t="s">
        <v>82</v>
      </c>
      <c r="AG7" s="1" t="s">
        <v>150</v>
      </c>
      <c r="AH7" s="1" t="s">
        <v>147</v>
      </c>
      <c r="AI7" s="1" t="s">
        <v>148</v>
      </c>
      <c r="AJ7" s="1" t="s">
        <v>149</v>
      </c>
      <c r="AK7" s="1" t="s">
        <v>179</v>
      </c>
    </row>
    <row r="8" spans="1:38" s="4" customFormat="1" x14ac:dyDescent="0.25"/>
    <row r="9" spans="1:38" s="4" customFormat="1" x14ac:dyDescent="0.25"/>
  </sheetData>
  <autoFilter ref="A7:AL33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K11"/>
  <sheetViews>
    <sheetView tabSelected="1" workbookViewId="0"/>
  </sheetViews>
  <sheetFormatPr defaultRowHeight="15" x14ac:dyDescent="0.25"/>
  <cols>
    <col min="1" max="1" width="25" customWidth="1"/>
    <col min="2" max="2" width="18.42578125" customWidth="1"/>
    <col min="3" max="3" width="13.7109375" bestFit="1" customWidth="1"/>
    <col min="5" max="5" width="11.7109375" customWidth="1"/>
    <col min="20" max="20" width="24.5703125" bestFit="1" customWidth="1"/>
  </cols>
  <sheetData>
    <row r="1" spans="1:37" x14ac:dyDescent="0.25">
      <c r="A1" s="1" t="s">
        <v>83</v>
      </c>
      <c r="B1">
        <v>8</v>
      </c>
      <c r="C1">
        <v>20</v>
      </c>
    </row>
    <row r="3" spans="1:37" s="10" customFormat="1" x14ac:dyDescent="0.25">
      <c r="B3" s="10" t="s">
        <v>186</v>
      </c>
      <c r="C3" s="10" t="s">
        <v>187</v>
      </c>
      <c r="D3" s="10" t="s">
        <v>188</v>
      </c>
      <c r="E3" s="10" t="s">
        <v>189</v>
      </c>
      <c r="F3" s="10" t="s">
        <v>190</v>
      </c>
    </row>
    <row r="4" spans="1:37" s="8" customFormat="1" x14ac:dyDescent="0.25">
      <c r="A4" s="11" t="s">
        <v>16</v>
      </c>
      <c r="B4" s="8" t="b">
        <v>0</v>
      </c>
      <c r="C4" s="8" t="s">
        <v>185</v>
      </c>
    </row>
    <row r="5" spans="1:37" s="8" customFormat="1" x14ac:dyDescent="0.25">
      <c r="A5" s="11" t="s">
        <v>17</v>
      </c>
      <c r="B5" s="8" t="b">
        <v>0</v>
      </c>
      <c r="C5" s="8" t="s">
        <v>193</v>
      </c>
    </row>
    <row r="6" spans="1:37" s="8" customFormat="1" x14ac:dyDescent="0.25">
      <c r="A6" s="11" t="s">
        <v>36</v>
      </c>
      <c r="B6" s="8" t="b">
        <v>0</v>
      </c>
      <c r="C6" s="8" t="s">
        <v>191</v>
      </c>
      <c r="D6" s="8" t="s">
        <v>192</v>
      </c>
      <c r="E6" s="13"/>
    </row>
    <row r="7" spans="1:37" s="9" customFormat="1" x14ac:dyDescent="0.25">
      <c r="A7" s="12" t="s">
        <v>35</v>
      </c>
      <c r="C7" s="9" t="s">
        <v>184</v>
      </c>
    </row>
    <row r="10" spans="1:37" x14ac:dyDescent="0.25">
      <c r="A10" s="15" t="s">
        <v>198</v>
      </c>
      <c r="C10" t="s">
        <v>38</v>
      </c>
      <c r="D10" t="s">
        <v>32</v>
      </c>
      <c r="E10" t="s">
        <v>33</v>
      </c>
      <c r="F10" t="s">
        <v>34</v>
      </c>
      <c r="G10" t="s">
        <v>51</v>
      </c>
      <c r="H10" t="s">
        <v>42</v>
      </c>
      <c r="I10" t="s">
        <v>43</v>
      </c>
      <c r="J10" t="s">
        <v>124</v>
      </c>
      <c r="K10" t="s">
        <v>125</v>
      </c>
      <c r="L10" t="s">
        <v>66</v>
      </c>
      <c r="M10" t="s">
        <v>44</v>
      </c>
      <c r="N10" t="s">
        <v>45</v>
      </c>
      <c r="O10" t="s">
        <v>52</v>
      </c>
      <c r="P10" t="s">
        <v>53</v>
      </c>
      <c r="Q10" t="s">
        <v>54</v>
      </c>
      <c r="R10" t="s">
        <v>46</v>
      </c>
      <c r="S10" t="s">
        <v>47</v>
      </c>
      <c r="T10" t="s">
        <v>48</v>
      </c>
      <c r="U10" t="s">
        <v>49</v>
      </c>
      <c r="V10" t="s">
        <v>39</v>
      </c>
      <c r="W10" t="s">
        <v>56</v>
      </c>
      <c r="X10" t="s">
        <v>144</v>
      </c>
      <c r="Y10" t="s">
        <v>41</v>
      </c>
      <c r="Z10" t="s">
        <v>40</v>
      </c>
      <c r="AA10" t="s">
        <v>50</v>
      </c>
      <c r="AB10" t="s">
        <v>55</v>
      </c>
      <c r="AC10" t="s">
        <v>57</v>
      </c>
      <c r="AD10" t="s">
        <v>77</v>
      </c>
      <c r="AE10" t="s">
        <v>78</v>
      </c>
      <c r="AF10" t="s">
        <v>79</v>
      </c>
      <c r="AG10" t="s">
        <v>151</v>
      </c>
      <c r="AH10" t="s">
        <v>146</v>
      </c>
      <c r="AI10" t="s">
        <v>152</v>
      </c>
      <c r="AJ10" t="s">
        <v>153</v>
      </c>
      <c r="AK10" t="s">
        <v>178</v>
      </c>
    </row>
    <row r="11" spans="1:37" s="1" customFormat="1" x14ac:dyDescent="0.25">
      <c r="A11" s="1" t="s">
        <v>95</v>
      </c>
      <c r="B11" s="1" t="s">
        <v>96</v>
      </c>
      <c r="C11" s="1" t="s">
        <v>154</v>
      </c>
      <c r="D11" s="1" t="s">
        <v>58</v>
      </c>
      <c r="E11" s="1" t="s">
        <v>59</v>
      </c>
      <c r="F11" s="1" t="s">
        <v>60</v>
      </c>
      <c r="G11" s="1" t="s">
        <v>70</v>
      </c>
      <c r="H11" s="1" t="s">
        <v>30</v>
      </c>
      <c r="I11" s="1" t="s">
        <v>94</v>
      </c>
      <c r="J11" s="1" t="s">
        <v>63</v>
      </c>
      <c r="K11" s="1" t="s">
        <v>64</v>
      </c>
      <c r="L11" s="1" t="s">
        <v>65</v>
      </c>
      <c r="M11" s="1" t="s">
        <v>61</v>
      </c>
      <c r="N11" s="1" t="s">
        <v>62</v>
      </c>
      <c r="O11" s="1" t="s">
        <v>16</v>
      </c>
      <c r="P11" s="1" t="s">
        <v>71</v>
      </c>
      <c r="Q11" s="1" t="s">
        <v>72</v>
      </c>
      <c r="R11" s="1" t="s">
        <v>17</v>
      </c>
      <c r="S11" s="1" t="s">
        <v>67</v>
      </c>
      <c r="T11" s="1" t="s">
        <v>36</v>
      </c>
      <c r="U11" s="1" t="s">
        <v>68</v>
      </c>
      <c r="V11" s="1" t="s">
        <v>35</v>
      </c>
      <c r="W11" s="1" t="s">
        <v>74</v>
      </c>
      <c r="X11" s="1" t="s">
        <v>145</v>
      </c>
      <c r="Y11" s="1" t="s">
        <v>75</v>
      </c>
      <c r="Z11" s="1" t="s">
        <v>37</v>
      </c>
      <c r="AA11" s="1" t="s">
        <v>69</v>
      </c>
      <c r="AB11" s="1" t="s">
        <v>73</v>
      </c>
      <c r="AC11" s="1" t="s">
        <v>76</v>
      </c>
      <c r="AD11" s="1" t="s">
        <v>80</v>
      </c>
      <c r="AE11" s="1" t="s">
        <v>81</v>
      </c>
      <c r="AF11" s="1" t="s">
        <v>82</v>
      </c>
      <c r="AG11" s="1" t="s">
        <v>150</v>
      </c>
      <c r="AH11" s="1" t="s">
        <v>147</v>
      </c>
      <c r="AI11" s="1" t="s">
        <v>148</v>
      </c>
      <c r="AJ11" s="1" t="s">
        <v>149</v>
      </c>
      <c r="AK11" s="1" t="s">
        <v>179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L10"/>
  <sheetViews>
    <sheetView workbookViewId="0">
      <pane ySplit="106500" topLeftCell="A355"/>
      <selection pane="bottomLeft" activeCell="A360" sqref="A360:G360"/>
    </sheetView>
  </sheetViews>
  <sheetFormatPr defaultColWidth="22.7109375" defaultRowHeight="15" x14ac:dyDescent="0.25"/>
  <cols>
    <col min="1" max="1" width="22.42578125" customWidth="1"/>
    <col min="2" max="2" width="10.42578125" bestFit="1" customWidth="1"/>
    <col min="3" max="3" width="14.28515625" customWidth="1"/>
    <col min="4" max="4" width="14.42578125" customWidth="1"/>
    <col min="5" max="5" width="9.28515625" bestFit="1" customWidth="1"/>
    <col min="6" max="6" width="7.5703125" bestFit="1" customWidth="1"/>
    <col min="7" max="7" width="12.5703125" bestFit="1" customWidth="1"/>
    <col min="8" max="8" width="15" bestFit="1" customWidth="1"/>
    <col min="9" max="9" width="20" bestFit="1" customWidth="1"/>
    <col min="10" max="10" width="27.140625" bestFit="1" customWidth="1"/>
    <col min="11" max="11" width="30.28515625" bestFit="1" customWidth="1"/>
    <col min="12" max="12" width="30.7109375" bestFit="1" customWidth="1"/>
    <col min="13" max="13" width="24.42578125" bestFit="1" customWidth="1"/>
    <col min="14" max="14" width="22" bestFit="1" customWidth="1"/>
    <col min="15" max="15" width="25.5703125" bestFit="1" customWidth="1"/>
    <col min="16" max="16" width="21.42578125" bestFit="1" customWidth="1"/>
    <col min="17" max="17" width="23.140625" bestFit="1" customWidth="1"/>
    <col min="18" max="18" width="25.85546875" bestFit="1" customWidth="1"/>
    <col min="19" max="19" width="22.85546875" bestFit="1" customWidth="1"/>
    <col min="20" max="20" width="24.5703125" bestFit="1" customWidth="1"/>
    <col min="21" max="21" width="21.7109375" bestFit="1" customWidth="1"/>
    <col min="22" max="22" width="6.7109375" bestFit="1" customWidth="1"/>
    <col min="23" max="23" width="10.5703125" bestFit="1" customWidth="1"/>
    <col min="24" max="24" width="10.5703125" customWidth="1"/>
    <col min="25" max="25" width="8.42578125" bestFit="1" customWidth="1"/>
    <col min="26" max="26" width="17" customWidth="1"/>
    <col min="27" max="27" width="19.85546875" bestFit="1" customWidth="1"/>
    <col min="28" max="28" width="18.5703125" bestFit="1" customWidth="1"/>
    <col min="29" max="29" width="17.7109375" bestFit="1" customWidth="1"/>
    <col min="30" max="30" width="45.42578125" bestFit="1" customWidth="1"/>
  </cols>
  <sheetData>
    <row r="1" spans="1:38" s="1" customFormat="1" x14ac:dyDescent="0.25">
      <c r="A1" s="1" t="s">
        <v>83</v>
      </c>
      <c r="B1">
        <v>21</v>
      </c>
      <c r="C1"/>
      <c r="D1" s="7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s="1" customFormat="1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4" spans="1:38" x14ac:dyDescent="0.25">
      <c r="B4" t="s">
        <v>175</v>
      </c>
    </row>
    <row r="7" spans="1:38" x14ac:dyDescent="0.25">
      <c r="A7" s="15" t="s">
        <v>198</v>
      </c>
      <c r="C7" t="s">
        <v>38</v>
      </c>
      <c r="D7" t="s">
        <v>32</v>
      </c>
      <c r="E7" t="s">
        <v>33</v>
      </c>
      <c r="F7" t="s">
        <v>34</v>
      </c>
      <c r="G7" t="s">
        <v>51</v>
      </c>
      <c r="H7" t="s">
        <v>42</v>
      </c>
      <c r="I7" t="s">
        <v>43</v>
      </c>
      <c r="J7" t="s">
        <v>124</v>
      </c>
      <c r="K7" t="s">
        <v>125</v>
      </c>
      <c r="L7" t="s">
        <v>66</v>
      </c>
      <c r="M7" t="s">
        <v>44</v>
      </c>
      <c r="N7" t="s">
        <v>45</v>
      </c>
      <c r="O7" t="s">
        <v>176</v>
      </c>
      <c r="P7" t="s">
        <v>53</v>
      </c>
      <c r="Q7" t="s">
        <v>54</v>
      </c>
      <c r="R7" t="s">
        <v>46</v>
      </c>
      <c r="S7" t="s">
        <v>47</v>
      </c>
      <c r="T7" t="s">
        <v>48</v>
      </c>
      <c r="U7" t="s">
        <v>49</v>
      </c>
      <c r="V7" t="s">
        <v>39</v>
      </c>
      <c r="W7" t="s">
        <v>56</v>
      </c>
      <c r="X7" t="s">
        <v>144</v>
      </c>
      <c r="Y7" t="s">
        <v>41</v>
      </c>
      <c r="Z7" t="s">
        <v>40</v>
      </c>
      <c r="AA7" t="s">
        <v>50</v>
      </c>
      <c r="AB7" t="s">
        <v>55</v>
      </c>
      <c r="AC7" t="s">
        <v>57</v>
      </c>
      <c r="AD7" t="s">
        <v>77</v>
      </c>
      <c r="AE7" t="s">
        <v>78</v>
      </c>
      <c r="AF7" t="s">
        <v>79</v>
      </c>
      <c r="AG7" t="s">
        <v>151</v>
      </c>
      <c r="AH7" t="s">
        <v>146</v>
      </c>
      <c r="AI7" t="s">
        <v>152</v>
      </c>
      <c r="AJ7" t="s">
        <v>153</v>
      </c>
    </row>
    <row r="8" spans="1:38" s="1" customFormat="1" x14ac:dyDescent="0.25">
      <c r="A8" s="1" t="s">
        <v>95</v>
      </c>
      <c r="B8" s="1" t="s">
        <v>96</v>
      </c>
      <c r="C8" s="1" t="s">
        <v>154</v>
      </c>
      <c r="D8" s="1" t="s">
        <v>58</v>
      </c>
      <c r="E8" s="1" t="s">
        <v>59</v>
      </c>
      <c r="F8" s="1" t="s">
        <v>60</v>
      </c>
      <c r="G8" s="1" t="s">
        <v>70</v>
      </c>
      <c r="H8" s="1" t="s">
        <v>30</v>
      </c>
      <c r="I8" s="1" t="s">
        <v>94</v>
      </c>
      <c r="J8" s="1" t="s">
        <v>63</v>
      </c>
      <c r="K8" s="1" t="s">
        <v>64</v>
      </c>
      <c r="L8" s="1" t="s">
        <v>65</v>
      </c>
      <c r="M8" s="1" t="s">
        <v>61</v>
      </c>
      <c r="N8" s="1" t="s">
        <v>62</v>
      </c>
      <c r="O8" s="1" t="s">
        <v>177</v>
      </c>
      <c r="P8" s="1" t="s">
        <v>71</v>
      </c>
      <c r="Q8" s="1" t="s">
        <v>72</v>
      </c>
      <c r="R8" s="1" t="s">
        <v>17</v>
      </c>
      <c r="S8" s="1" t="s">
        <v>67</v>
      </c>
      <c r="T8" s="1" t="s">
        <v>36</v>
      </c>
      <c r="U8" s="1" t="s">
        <v>68</v>
      </c>
      <c r="V8" s="1" t="s">
        <v>35</v>
      </c>
      <c r="W8" s="1" t="s">
        <v>74</v>
      </c>
      <c r="X8" s="1" t="s">
        <v>145</v>
      </c>
      <c r="Y8" s="1" t="s">
        <v>75</v>
      </c>
      <c r="Z8" s="1" t="s">
        <v>37</v>
      </c>
      <c r="AA8" s="1" t="s">
        <v>69</v>
      </c>
      <c r="AB8" s="1" t="s">
        <v>73</v>
      </c>
      <c r="AC8" s="1" t="s">
        <v>76</v>
      </c>
      <c r="AD8" s="1" t="s">
        <v>80</v>
      </c>
      <c r="AE8" s="1" t="s">
        <v>81</v>
      </c>
      <c r="AF8" s="1" t="s">
        <v>82</v>
      </c>
      <c r="AG8" s="1" t="s">
        <v>150</v>
      </c>
      <c r="AH8" s="1" t="s">
        <v>147</v>
      </c>
      <c r="AI8" s="1" t="s">
        <v>148</v>
      </c>
      <c r="AJ8" s="1" t="s">
        <v>149</v>
      </c>
    </row>
    <row r="9" spans="1:38" s="4" customFormat="1" x14ac:dyDescent="0.25"/>
    <row r="10" spans="1:38" s="4" customFormat="1" x14ac:dyDescent="0.25"/>
  </sheetData>
  <autoFilter ref="A8:AL34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Settings!$A$22:$A$23</xm:f>
          </x14:formula1>
          <xm:sqref>B2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L7"/>
  <sheetViews>
    <sheetView workbookViewId="0"/>
  </sheetViews>
  <sheetFormatPr defaultRowHeight="15" x14ac:dyDescent="0.25"/>
  <cols>
    <col min="1" max="1" width="24.140625" customWidth="1"/>
    <col min="2" max="3" width="11.42578125" bestFit="1" customWidth="1"/>
    <col min="4" max="4" width="30.140625" customWidth="1"/>
    <col min="8" max="8" width="16.28515625" bestFit="1" customWidth="1"/>
    <col min="9" max="9" width="50.5703125" customWidth="1"/>
    <col min="12" max="12" width="9.7109375" bestFit="1" customWidth="1"/>
  </cols>
  <sheetData>
    <row r="1" spans="1:38" s="1" customFormat="1" x14ac:dyDescent="0.25">
      <c r="A1" s="1" t="s">
        <v>83</v>
      </c>
      <c r="B1">
        <v>114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6" spans="1:38" x14ac:dyDescent="0.25">
      <c r="A6" s="15" t="s">
        <v>198</v>
      </c>
      <c r="C6" t="s">
        <v>38</v>
      </c>
      <c r="D6" t="s">
        <v>102</v>
      </c>
      <c r="E6" t="s">
        <v>91</v>
      </c>
      <c r="F6" t="s">
        <v>89</v>
      </c>
      <c r="G6" t="s">
        <v>90</v>
      </c>
      <c r="H6" t="s">
        <v>92</v>
      </c>
      <c r="I6" t="s">
        <v>93</v>
      </c>
      <c r="J6" t="s">
        <v>85</v>
      </c>
      <c r="K6" t="s">
        <v>75</v>
      </c>
      <c r="L6" t="s">
        <v>40</v>
      </c>
    </row>
    <row r="7" spans="1:38" s="1" customFormat="1" x14ac:dyDescent="0.25">
      <c r="A7" s="1" t="s">
        <v>84</v>
      </c>
      <c r="B7" s="1" t="s">
        <v>31</v>
      </c>
      <c r="C7" s="1" t="s">
        <v>99</v>
      </c>
      <c r="D7" s="1" t="s">
        <v>100</v>
      </c>
      <c r="E7" s="1" t="s">
        <v>86</v>
      </c>
      <c r="F7" s="1" t="s">
        <v>97</v>
      </c>
      <c r="G7" s="1" t="s">
        <v>98</v>
      </c>
      <c r="H7" s="1" t="s">
        <v>101</v>
      </c>
      <c r="I7" s="1" t="s">
        <v>87</v>
      </c>
      <c r="J7" s="1" t="s">
        <v>88</v>
      </c>
      <c r="K7" s="1" t="s">
        <v>75</v>
      </c>
      <c r="L7" s="1" t="s">
        <v>37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69"/>
  <sheetViews>
    <sheetView workbookViewId="0"/>
  </sheetViews>
  <sheetFormatPr defaultColWidth="15" defaultRowHeight="15" x14ac:dyDescent="0.25"/>
  <cols>
    <col min="1" max="1" width="23.7109375" customWidth="1"/>
    <col min="10" max="10" width="28.5703125" customWidth="1"/>
  </cols>
  <sheetData>
    <row r="1" spans="1:13" x14ac:dyDescent="0.25">
      <c r="A1" s="1" t="s">
        <v>83</v>
      </c>
      <c r="B1">
        <v>20</v>
      </c>
    </row>
    <row r="6" spans="1:13" x14ac:dyDescent="0.25">
      <c r="A6" s="15" t="s">
        <v>198</v>
      </c>
      <c r="C6" t="s">
        <v>38</v>
      </c>
      <c r="D6" t="s">
        <v>102</v>
      </c>
      <c r="E6" t="s">
        <v>103</v>
      </c>
      <c r="F6" t="s">
        <v>104</v>
      </c>
      <c r="G6" t="s">
        <v>105</v>
      </c>
      <c r="H6" t="s">
        <v>106</v>
      </c>
      <c r="I6" t="s">
        <v>107</v>
      </c>
      <c r="J6" t="s">
        <v>93</v>
      </c>
      <c r="K6" t="s">
        <v>85</v>
      </c>
      <c r="L6" t="s">
        <v>75</v>
      </c>
      <c r="M6" t="s">
        <v>40</v>
      </c>
    </row>
    <row r="7" spans="1:13" s="1" customFormat="1" x14ac:dyDescent="0.25">
      <c r="A7" s="1" t="s">
        <v>84</v>
      </c>
      <c r="B7" s="1" t="s">
        <v>31</v>
      </c>
      <c r="C7" s="1" t="s">
        <v>99</v>
      </c>
      <c r="D7" s="1" t="s">
        <v>112</v>
      </c>
      <c r="E7" s="1" t="s">
        <v>111</v>
      </c>
      <c r="F7" s="1" t="s">
        <v>110</v>
      </c>
      <c r="G7" s="1" t="s">
        <v>109</v>
      </c>
      <c r="H7" s="1" t="s">
        <v>108</v>
      </c>
      <c r="I7" s="1" t="s">
        <v>113</v>
      </c>
      <c r="J7" s="1" t="s">
        <v>87</v>
      </c>
      <c r="K7" s="1" t="s">
        <v>88</v>
      </c>
      <c r="L7" s="1" t="s">
        <v>75</v>
      </c>
      <c r="M7" s="1" t="s">
        <v>37</v>
      </c>
    </row>
    <row r="11" spans="1:13" x14ac:dyDescent="0.25">
      <c r="J11" s="5"/>
    </row>
    <row r="16" spans="1:13" x14ac:dyDescent="0.25">
      <c r="J16" s="5"/>
    </row>
    <row r="21" spans="10:10" x14ac:dyDescent="0.25">
      <c r="J21" s="5"/>
    </row>
    <row r="40" spans="10:10" x14ac:dyDescent="0.25">
      <c r="J40" s="5"/>
    </row>
    <row r="45" spans="10:10" x14ac:dyDescent="0.25">
      <c r="J45" s="5"/>
    </row>
    <row r="55" spans="10:10" x14ac:dyDescent="0.25">
      <c r="J55" s="5"/>
    </row>
    <row r="63" spans="10:10" x14ac:dyDescent="0.25">
      <c r="J63" s="5"/>
    </row>
    <row r="70" spans="10:10" x14ac:dyDescent="0.25">
      <c r="J70" s="5"/>
    </row>
    <row r="100" spans="10:10" x14ac:dyDescent="0.25">
      <c r="J100" s="5"/>
    </row>
    <row r="103" spans="10:10" x14ac:dyDescent="0.25">
      <c r="J103" s="5"/>
    </row>
    <row r="130" spans="10:10" x14ac:dyDescent="0.25">
      <c r="J130" s="5"/>
    </row>
    <row r="143" spans="10:10" x14ac:dyDescent="0.25">
      <c r="J143" s="5"/>
    </row>
    <row r="146" spans="10:10" x14ac:dyDescent="0.25">
      <c r="J146" s="5"/>
    </row>
    <row r="148" spans="10:10" x14ac:dyDescent="0.25">
      <c r="J148" s="5"/>
    </row>
    <row r="157" spans="10:10" x14ac:dyDescent="0.25">
      <c r="J157" s="5"/>
    </row>
    <row r="166" spans="10:10" x14ac:dyDescent="0.25">
      <c r="J166" s="5"/>
    </row>
    <row r="167" spans="10:10" x14ac:dyDescent="0.25">
      <c r="J167" s="5"/>
    </row>
    <row r="168" spans="10:10" x14ac:dyDescent="0.25">
      <c r="J168" s="5"/>
    </row>
    <row r="169" spans="10:10" x14ac:dyDescent="0.25">
      <c r="J169" s="5"/>
    </row>
    <row r="192" spans="10:10" x14ac:dyDescent="0.25">
      <c r="J192" s="5"/>
    </row>
    <row r="200" spans="10:10" x14ac:dyDescent="0.25">
      <c r="J200" s="5"/>
    </row>
    <row r="207" spans="10:10" x14ac:dyDescent="0.25">
      <c r="J207" s="5"/>
    </row>
    <row r="211" spans="10:10" x14ac:dyDescent="0.25">
      <c r="J211" s="5"/>
    </row>
    <row r="212" spans="10:10" x14ac:dyDescent="0.25">
      <c r="J212" s="5"/>
    </row>
    <row r="213" spans="10:10" x14ac:dyDescent="0.25">
      <c r="J213" s="5"/>
    </row>
    <row r="221" spans="10:10" x14ac:dyDescent="0.25">
      <c r="J221" s="5"/>
    </row>
    <row r="223" spans="10:10" x14ac:dyDescent="0.25">
      <c r="J223" s="5"/>
    </row>
    <row r="228" spans="10:10" x14ac:dyDescent="0.25">
      <c r="J228" s="5"/>
    </row>
    <row r="231" spans="10:10" x14ac:dyDescent="0.25">
      <c r="J231" s="5"/>
    </row>
    <row r="234" spans="10:10" x14ac:dyDescent="0.25">
      <c r="J234" s="5"/>
    </row>
    <row r="246" spans="10:10" x14ac:dyDescent="0.25">
      <c r="J246" s="5"/>
    </row>
    <row r="252" spans="10:10" x14ac:dyDescent="0.25">
      <c r="J252" s="5"/>
    </row>
    <row r="272" spans="10:10" x14ac:dyDescent="0.25">
      <c r="J272" s="5"/>
    </row>
    <row r="286" spans="10:10" x14ac:dyDescent="0.25">
      <c r="J286" s="5"/>
    </row>
    <row r="298" spans="10:10" x14ac:dyDescent="0.25">
      <c r="J298" s="5"/>
    </row>
    <row r="310" spans="10:10" x14ac:dyDescent="0.25">
      <c r="J310" s="5"/>
    </row>
    <row r="318" spans="10:10" x14ac:dyDescent="0.25">
      <c r="J318" s="5"/>
    </row>
    <row r="321" spans="10:10" x14ac:dyDescent="0.25">
      <c r="J321" s="5"/>
    </row>
    <row r="324" spans="10:10" x14ac:dyDescent="0.25">
      <c r="J324" s="5"/>
    </row>
    <row r="328" spans="10:10" x14ac:dyDescent="0.25">
      <c r="J328" s="5"/>
    </row>
    <row r="360" spans="10:10" x14ac:dyDescent="0.25">
      <c r="J360" s="5"/>
    </row>
    <row r="370" spans="10:10" x14ac:dyDescent="0.25">
      <c r="J370" s="5"/>
    </row>
    <row r="407" spans="10:10" x14ac:dyDescent="0.25">
      <c r="J407" s="5"/>
    </row>
    <row r="414" spans="10:10" x14ac:dyDescent="0.25">
      <c r="J414" s="5"/>
    </row>
    <row r="417" spans="10:10" x14ac:dyDescent="0.25">
      <c r="J417" s="5"/>
    </row>
    <row r="437" spans="10:10" x14ac:dyDescent="0.25">
      <c r="J437" s="5"/>
    </row>
    <row r="456" spans="10:10" x14ac:dyDescent="0.25">
      <c r="J456" s="5"/>
    </row>
    <row r="469" spans="10:10" x14ac:dyDescent="0.25">
      <c r="J469" s="5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G7"/>
  <sheetViews>
    <sheetView workbookViewId="0"/>
  </sheetViews>
  <sheetFormatPr defaultRowHeight="15" x14ac:dyDescent="0.25"/>
  <cols>
    <col min="1" max="1" width="22.85546875" bestFit="1" customWidth="1"/>
    <col min="2" max="2" width="10.42578125" bestFit="1" customWidth="1"/>
    <col min="3" max="3" width="22.42578125" bestFit="1" customWidth="1"/>
    <col min="4" max="4" width="35.5703125" bestFit="1" customWidth="1"/>
    <col min="5" max="5" width="19" bestFit="1" customWidth="1"/>
    <col min="6" max="6" width="36.85546875" customWidth="1"/>
  </cols>
  <sheetData>
    <row r="1" spans="1:33" s="1" customFormat="1" x14ac:dyDescent="0.25">
      <c r="A1" s="1" t="s">
        <v>83</v>
      </c>
      <c r="B1">
        <v>20</v>
      </c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</row>
    <row r="6" spans="1:33" x14ac:dyDescent="0.25">
      <c r="A6" s="15" t="s">
        <v>198</v>
      </c>
      <c r="C6" t="s">
        <v>119</v>
      </c>
      <c r="D6" t="s">
        <v>121</v>
      </c>
      <c r="E6" t="s">
        <v>122</v>
      </c>
      <c r="F6" t="s">
        <v>123</v>
      </c>
      <c r="G6" t="s">
        <v>120</v>
      </c>
    </row>
    <row r="7" spans="1:33" x14ac:dyDescent="0.25">
      <c r="A7" s="1" t="s">
        <v>95</v>
      </c>
      <c r="B7" s="1" t="s">
        <v>96</v>
      </c>
      <c r="C7" s="1" t="s">
        <v>114</v>
      </c>
      <c r="D7" s="1" t="s">
        <v>116</v>
      </c>
      <c r="E7" s="1" t="s">
        <v>115</v>
      </c>
      <c r="F7" s="1" t="s">
        <v>117</v>
      </c>
      <c r="G7" s="1" t="s">
        <v>118</v>
      </c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7"/>
  <sheetViews>
    <sheetView workbookViewId="0"/>
  </sheetViews>
  <sheetFormatPr defaultRowHeight="15" x14ac:dyDescent="0.25"/>
  <cols>
    <col min="1" max="1" width="22.85546875" bestFit="1" customWidth="1"/>
    <col min="2" max="2" width="15.28515625" bestFit="1" customWidth="1"/>
    <col min="3" max="3" width="22.42578125" bestFit="1" customWidth="1"/>
    <col min="4" max="4" width="18.85546875" bestFit="1" customWidth="1"/>
    <col min="5" max="5" width="18.140625" bestFit="1" customWidth="1"/>
  </cols>
  <sheetData>
    <row r="1" spans="1:30" s="1" customFormat="1" x14ac:dyDescent="0.25">
      <c r="A1" s="1" t="s">
        <v>83</v>
      </c>
      <c r="B1">
        <v>20</v>
      </c>
      <c r="C1">
        <v>5</v>
      </c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6" spans="1:30" x14ac:dyDescent="0.25">
      <c r="A6" s="15" t="s">
        <v>198</v>
      </c>
      <c r="C6" t="s">
        <v>129</v>
      </c>
      <c r="D6" t="s">
        <v>120</v>
      </c>
      <c r="E6" t="s">
        <v>132</v>
      </c>
    </row>
    <row r="7" spans="1:30" x14ac:dyDescent="0.25">
      <c r="A7" s="1" t="s">
        <v>126</v>
      </c>
      <c r="B7" s="1" t="s">
        <v>127</v>
      </c>
      <c r="C7" s="1" t="s">
        <v>128</v>
      </c>
      <c r="D7" s="1" t="s">
        <v>130</v>
      </c>
      <c r="E7" s="1" t="s">
        <v>131</v>
      </c>
      <c r="F7" s="1"/>
      <c r="G7" s="1"/>
      <c r="H7" s="1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7"/>
  <sheetViews>
    <sheetView workbookViewId="0"/>
  </sheetViews>
  <sheetFormatPr defaultRowHeight="15" x14ac:dyDescent="0.25"/>
  <cols>
    <col min="1" max="1" width="24.5703125" customWidth="1"/>
    <col min="2" max="2" width="11.85546875" customWidth="1"/>
    <col min="3" max="7" width="18.7109375" customWidth="1"/>
  </cols>
  <sheetData>
    <row r="1" spans="1:11" x14ac:dyDescent="0.25">
      <c r="A1" s="1" t="s">
        <v>83</v>
      </c>
      <c r="B1">
        <v>5</v>
      </c>
    </row>
    <row r="6" spans="1:11" x14ac:dyDescent="0.25">
      <c r="A6" s="15" t="s">
        <v>198</v>
      </c>
      <c r="C6" t="s">
        <v>133</v>
      </c>
      <c r="D6" t="s">
        <v>134</v>
      </c>
      <c r="E6" t="s">
        <v>120</v>
      </c>
    </row>
    <row r="7" spans="1:11" x14ac:dyDescent="0.25">
      <c r="A7" s="1" t="s">
        <v>95</v>
      </c>
      <c r="B7" s="1" t="s">
        <v>96</v>
      </c>
      <c r="C7" s="1" t="s">
        <v>61</v>
      </c>
      <c r="D7" s="1" t="s">
        <v>62</v>
      </c>
      <c r="E7" s="1" t="s">
        <v>130</v>
      </c>
      <c r="F7" s="1"/>
      <c r="H7" s="1"/>
      <c r="I7" s="1"/>
      <c r="J7" s="1"/>
      <c r="K7" s="1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4"/>
  <sheetViews>
    <sheetView workbookViewId="0"/>
  </sheetViews>
  <sheetFormatPr defaultRowHeight="15" x14ac:dyDescent="0.25"/>
  <cols>
    <col min="1" max="1" width="14.42578125" style="1" bestFit="1" customWidth="1"/>
    <col min="2" max="2" width="140.140625" customWidth="1"/>
    <col min="3" max="3" width="15.7109375" customWidth="1"/>
  </cols>
  <sheetData>
    <row r="1" spans="1:2" x14ac:dyDescent="0.25">
      <c r="A1" s="14" t="s">
        <v>194</v>
      </c>
      <c r="B1" t="b">
        <v>0</v>
      </c>
    </row>
    <row r="2" spans="1:2" x14ac:dyDescent="0.25">
      <c r="A2" s="14" t="s">
        <v>195</v>
      </c>
      <c r="B2" s="5"/>
    </row>
    <row r="3" spans="1:2" x14ac:dyDescent="0.25">
      <c r="A3" s="14" t="s">
        <v>196</v>
      </c>
    </row>
    <row r="4" spans="1:2" x14ac:dyDescent="0.25">
      <c r="A4" s="14" t="s">
        <v>197</v>
      </c>
      <c r="B4" s="5"/>
    </row>
  </sheetData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C21"/>
  <sheetViews>
    <sheetView workbookViewId="0"/>
  </sheetViews>
  <sheetFormatPr defaultRowHeight="15" x14ac:dyDescent="0.25"/>
  <cols>
    <col min="1" max="1" width="13.140625" customWidth="1"/>
    <col min="2" max="2" width="30" bestFit="1" customWidth="1"/>
    <col min="3" max="3" width="94" bestFit="1" customWidth="1"/>
  </cols>
  <sheetData>
    <row r="1" spans="1:3" s="6" customFormat="1" ht="21" x14ac:dyDescent="0.35">
      <c r="A1" s="6" t="s">
        <v>143</v>
      </c>
    </row>
    <row r="2" spans="1:3" s="3" customFormat="1" x14ac:dyDescent="0.25">
      <c r="A2" s="3" t="s">
        <v>13</v>
      </c>
      <c r="B2" s="3" t="s">
        <v>14</v>
      </c>
      <c r="C2" s="3" t="s">
        <v>15</v>
      </c>
    </row>
    <row r="3" spans="1:3" x14ac:dyDescent="0.25">
      <c r="A3" t="s">
        <v>19</v>
      </c>
      <c r="B3" t="s">
        <v>183</v>
      </c>
      <c r="C3" t="s">
        <v>20</v>
      </c>
    </row>
    <row r="4" spans="1:3" x14ac:dyDescent="0.25">
      <c r="A4" t="s">
        <v>1</v>
      </c>
      <c r="B4" t="s">
        <v>199</v>
      </c>
      <c r="C4" t="s">
        <v>21</v>
      </c>
    </row>
    <row r="5" spans="1:3" x14ac:dyDescent="0.25">
      <c r="A5" t="s">
        <v>18</v>
      </c>
      <c r="B5" t="s">
        <v>201</v>
      </c>
      <c r="C5" t="s">
        <v>27</v>
      </c>
    </row>
    <row r="6" spans="1:3" x14ac:dyDescent="0.25">
      <c r="A6" t="s">
        <v>3</v>
      </c>
      <c r="B6" t="s">
        <v>6</v>
      </c>
      <c r="C6" t="s">
        <v>22</v>
      </c>
    </row>
    <row r="7" spans="1:3" x14ac:dyDescent="0.25">
      <c r="A7" t="s">
        <v>2</v>
      </c>
      <c r="B7" t="s">
        <v>200</v>
      </c>
      <c r="C7" t="s">
        <v>202</v>
      </c>
    </row>
    <row r="8" spans="1:3" ht="15.75" customHeight="1" x14ac:dyDescent="0.25"/>
    <row r="9" spans="1:3" s="6" customFormat="1" ht="21" x14ac:dyDescent="0.35">
      <c r="A9" s="6" t="s">
        <v>142</v>
      </c>
    </row>
    <row r="10" spans="1:3" s="3" customFormat="1" x14ac:dyDescent="0.25">
      <c r="A10" s="3" t="s">
        <v>13</v>
      </c>
      <c r="B10" s="3" t="s">
        <v>14</v>
      </c>
      <c r="C10" s="3" t="s">
        <v>15</v>
      </c>
    </row>
    <row r="11" spans="1:3" ht="14.25" customHeight="1" x14ac:dyDescent="0.25">
      <c r="A11" t="s">
        <v>19</v>
      </c>
      <c r="B11" t="s">
        <v>183</v>
      </c>
      <c r="C11" t="s">
        <v>25</v>
      </c>
    </row>
    <row r="12" spans="1:3" ht="14.25" customHeight="1" x14ac:dyDescent="0.25">
      <c r="A12" t="s">
        <v>24</v>
      </c>
      <c r="B12" t="s">
        <v>199</v>
      </c>
      <c r="C12" t="s">
        <v>26</v>
      </c>
    </row>
    <row r="13" spans="1:3" x14ac:dyDescent="0.25">
      <c r="A13" t="s">
        <v>18</v>
      </c>
      <c r="B13" t="s">
        <v>201</v>
      </c>
      <c r="C13" t="s">
        <v>27</v>
      </c>
    </row>
    <row r="21" spans="1:1" x14ac:dyDescent="0.25">
      <c r="A21" s="1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Request</vt:lpstr>
      <vt:lpstr>Ticket Status</vt:lpstr>
      <vt:lpstr>Devices</vt:lpstr>
      <vt:lpstr>Rules</vt:lpstr>
      <vt:lpstr>Policy Analysis</vt:lpstr>
      <vt:lpstr>NAT Rules</vt:lpstr>
      <vt:lpstr>Network Objects</vt:lpstr>
      <vt:lpstr>Services</vt:lpstr>
      <vt:lpstr>Cisco ACL Stats</vt:lpstr>
      <vt:lpstr>Check Point Policy Stats</vt:lpstr>
      <vt:lpstr>Zone Based Firewall Stats</vt:lpstr>
      <vt:lpstr>Debug</vt:lpstr>
      <vt:lpstr>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Reuven</dc:creator>
  <cp:lastModifiedBy>Reuven Harrison</cp:lastModifiedBy>
  <dcterms:created xsi:type="dcterms:W3CDTF">2013-06-19T12:24:44Z</dcterms:created>
  <dcterms:modified xsi:type="dcterms:W3CDTF">2016-08-24T10:58:17Z</dcterms:modified>
</cp:coreProperties>
</file>