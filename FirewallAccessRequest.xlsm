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uven\Firewall-Access-Request\"/>
    </mc:Choice>
  </mc:AlternateContent>
  <bookViews>
    <workbookView xWindow="0" yWindow="0" windowWidth="20490" windowHeight="8445" tabRatio="844" firstSheet="5" activeTab="12"/>
  </bookViews>
  <sheets>
    <sheet name="Request" sheetId="1" r:id="rId1"/>
    <sheet name="Ticket Status" sheetId="10" r:id="rId2"/>
    <sheet name="Devices" sheetId="3" r:id="rId3"/>
    <sheet name="Rules" sheetId="4" r:id="rId4"/>
    <sheet name="Policy Analysis" sheetId="14" r:id="rId5"/>
    <sheet name="NAT Rules" sheetId="11" r:id="rId6"/>
    <sheet name="Network Objects" sheetId="5" r:id="rId7"/>
    <sheet name="Services" sheetId="6" r:id="rId8"/>
    <sheet name="Cisco ACL Stats" sheetId="7" r:id="rId9"/>
    <sheet name="Check Point Policy Stats" sheetId="8" r:id="rId10"/>
    <sheet name="Zone Based Firewall Stats" sheetId="9" r:id="rId11"/>
    <sheet name="Debug" sheetId="15" r:id="rId12"/>
    <sheet name="Settings" sheetId="2" r:id="rId13"/>
  </sheets>
  <functionGroups builtInGroupCount="18"/>
  <definedNames>
    <definedName name="_xlnm._FilterDatabase" localSheetId="5" hidden="1">'NAT Rules'!$A$10:$AL$10</definedName>
    <definedName name="_xlnm._FilterDatabase" localSheetId="6" hidden="1">'Network Objects'!$A$10:$AL$10</definedName>
    <definedName name="_xlnm._FilterDatabase" localSheetId="3" hidden="1">Rules!$A$10:$AL$10</definedName>
  </definedNames>
  <calcPr calcId="152511"/>
</workbook>
</file>

<file path=xl/calcChain.xml><?xml version="1.0" encoding="utf-8"?>
<calcChain xmlns="http://schemas.openxmlformats.org/spreadsheetml/2006/main">
  <c r="J9" i="10" l="1"/>
</calcChain>
</file>

<file path=xl/comments1.xml><?xml version="1.0" encoding="utf-8"?>
<comments xmlns="http://schemas.openxmlformats.org/spreadsheetml/2006/main">
  <authors>
    <author>Reuven Harrison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Enter one or more device ID to the right.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Set to TRUE to exclude rules with Any in the relevant field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Reuven Harrison:</t>
        </r>
        <r>
          <rPr>
            <sz val="9"/>
            <color indexed="81"/>
            <rFont val="Tahoma"/>
            <family val="2"/>
          </rPr>
          <t xml:space="preserve">
Accept, Drop or Any</t>
        </r>
      </text>
    </comment>
  </commentList>
</comments>
</file>

<file path=xl/sharedStrings.xml><?xml version="1.0" encoding="utf-8"?>
<sst xmlns="http://schemas.openxmlformats.org/spreadsheetml/2006/main" count="477" uniqueCount="224">
  <si>
    <t>Subject</t>
  </si>
  <si>
    <t>Requestor</t>
  </si>
  <si>
    <t>Workflow</t>
  </si>
  <si>
    <t>Domain</t>
  </si>
  <si>
    <t>Priority</t>
  </si>
  <si>
    <t>Normal</t>
  </si>
  <si>
    <t>Default</t>
  </si>
  <si>
    <t>IPP</t>
  </si>
  <si>
    <t>Port</t>
  </si>
  <si>
    <t>1.2.3.0/24</t>
  </si>
  <si>
    <t>UDP</t>
  </si>
  <si>
    <t>2.0.0.0/8</t>
  </si>
  <si>
    <t>I need access</t>
  </si>
  <si>
    <t>Field</t>
  </si>
  <si>
    <t>Value</t>
  </si>
  <si>
    <t>Explanation</t>
  </si>
  <si>
    <t>Source</t>
  </si>
  <si>
    <t>Destination</t>
  </si>
  <si>
    <t>Must be a valid workflow name</t>
  </si>
  <si>
    <t>Password</t>
  </si>
  <si>
    <t>Server</t>
  </si>
  <si>
    <t>This is the SecureChange server IP</t>
  </si>
  <si>
    <t>Username must be allowed to submit the ticket in the workflow</t>
  </si>
  <si>
    <t>Leave as "Default" unless you are using a multi-domain deployment</t>
  </si>
  <si>
    <t>ID</t>
  </si>
  <si>
    <t>Username</t>
  </si>
  <si>
    <t>This is the SecureTrack server IP</t>
  </si>
  <si>
    <t>A SecureTrack user</t>
  </si>
  <si>
    <t>After you set the password, you can hide the cell and lock the spreadsheet</t>
  </si>
  <si>
    <t>Model</t>
  </si>
  <si>
    <t>Vendor</t>
  </si>
  <si>
    <t>Name</t>
  </si>
  <si>
    <t>Device ID</t>
  </si>
  <si>
    <t>cp_uid</t>
  </si>
  <si>
    <t>uid</t>
  </si>
  <si>
    <t>order</t>
  </si>
  <si>
    <t>Action</t>
  </si>
  <si>
    <t>Service</t>
  </si>
  <si>
    <t>Comment</t>
  </si>
  <si>
    <t>id</t>
  </si>
  <si>
    <t>action</t>
  </si>
  <si>
    <t>comment</t>
  </si>
  <si>
    <t>external</t>
  </si>
  <si>
    <t>name</t>
  </si>
  <si>
    <t>binding/policy/name</t>
  </si>
  <si>
    <t>binding/from_zone/name</t>
  </si>
  <si>
    <t>binding/to_zone/name</t>
  </si>
  <si>
    <t>dst_network/display_name</t>
  </si>
  <si>
    <t>dest_networks_negated</t>
  </si>
  <si>
    <t>dst_service/display_name</t>
  </si>
  <si>
    <t>dest_services_negated</t>
  </si>
  <si>
    <t>install/display_name</t>
  </si>
  <si>
    <t>rule_number</t>
  </si>
  <si>
    <t>src_network/display_name</t>
  </si>
  <si>
    <t>src_networks_negated</t>
  </si>
  <si>
    <t>src_services_negated</t>
  </si>
  <si>
    <t>time/display_name</t>
  </si>
  <si>
    <t>track/level</t>
  </si>
  <si>
    <t>vpn/display_name</t>
  </si>
  <si>
    <t>Vendor UID</t>
  </si>
  <si>
    <t>Tufin UID</t>
  </si>
  <si>
    <t>Order #</t>
  </si>
  <si>
    <t>From Zone</t>
  </si>
  <si>
    <t>To Zone</t>
  </si>
  <si>
    <t>Cisco Interface</t>
  </si>
  <si>
    <t>Cisco Direction</t>
  </si>
  <si>
    <t>Cisco ACL</t>
  </si>
  <si>
    <t>binding/acl/interfaces/acl_name</t>
  </si>
  <si>
    <t>Destination Negated</t>
  </si>
  <si>
    <t>Service Negated</t>
  </si>
  <si>
    <t>Install On</t>
  </si>
  <si>
    <t>Number</t>
  </si>
  <si>
    <t>Source Negated</t>
  </si>
  <si>
    <t>Source Services Negated</t>
  </si>
  <si>
    <t>Time</t>
  </si>
  <si>
    <t>Log</t>
  </si>
  <si>
    <t>Global</t>
  </si>
  <si>
    <t>VPN</t>
  </si>
  <si>
    <t>documentation/record_set/businessOwnerEmail</t>
  </si>
  <si>
    <t>documentation/record_set/businessOwnerName</t>
  </si>
  <si>
    <t>documentation/record_set/ticketCr</t>
  </si>
  <si>
    <t>Business Owner email</t>
  </si>
  <si>
    <t>Business Owner Name</t>
  </si>
  <si>
    <t>SecureChange Ticket</t>
  </si>
  <si>
    <t>Device IDs (one per col):</t>
  </si>
  <si>
    <t>Device Name</t>
  </si>
  <si>
    <t>type</t>
  </si>
  <si>
    <t>IP</t>
  </si>
  <si>
    <t>Members</t>
  </si>
  <si>
    <t>Type</t>
  </si>
  <si>
    <t>first_ip</t>
  </si>
  <si>
    <t>last_ip</t>
  </si>
  <si>
    <t>ip</t>
  </si>
  <si>
    <t>netmask</t>
  </si>
  <si>
    <t>member/display_name</t>
  </si>
  <si>
    <t>Check Point Policy</t>
  </si>
  <si>
    <t>Firewall Name</t>
  </si>
  <si>
    <t>Firewall ID</t>
  </si>
  <si>
    <t>First IP</t>
  </si>
  <si>
    <t>Last IP</t>
  </si>
  <si>
    <t>Object ID</t>
  </si>
  <si>
    <t>Object Name</t>
  </si>
  <si>
    <t>Network Mask</t>
  </si>
  <si>
    <t>display_name</t>
  </si>
  <si>
    <t>min</t>
  </si>
  <si>
    <t>max</t>
  </si>
  <si>
    <t>negate</t>
  </si>
  <si>
    <t>protocol</t>
  </si>
  <si>
    <t>timeout</t>
  </si>
  <si>
    <t>Protocol</t>
  </si>
  <si>
    <t>Negated</t>
  </si>
  <si>
    <t>Last Port</t>
  </si>
  <si>
    <t>First Port</t>
  </si>
  <si>
    <t>Service Name</t>
  </si>
  <si>
    <t>Timeout</t>
  </si>
  <si>
    <t>ACL</t>
  </si>
  <si>
    <t>Direction</t>
  </si>
  <si>
    <t>Interface</t>
  </si>
  <si>
    <t>Interface IP</t>
  </si>
  <si>
    <t># of ACEs</t>
  </si>
  <si>
    <t>acl/name</t>
  </si>
  <si>
    <t>security_rule_count</t>
  </si>
  <si>
    <t>acl/interfaces/name | interface/name</t>
  </si>
  <si>
    <t>acl/interfaces/direction | interface/direction</t>
  </si>
  <si>
    <t>acl/interfaces/interface_ips/interface_ip/ip | interface/interface_ips/interface_ip/ip</t>
  </si>
  <si>
    <t>binding/acl/interfaces/name | binding/interface/name</t>
  </si>
  <si>
    <t>binding/acl/interfaces/direction | binding/interface/direction</t>
  </si>
  <si>
    <t>Management Name</t>
  </si>
  <si>
    <t>Management ID</t>
  </si>
  <si>
    <t>Policy</t>
  </si>
  <si>
    <t>policy/name</t>
  </si>
  <si>
    <t># of security rules</t>
  </si>
  <si>
    <t>Installation Targets</t>
  </si>
  <si>
    <t>policy/itg</t>
  </si>
  <si>
    <t>from_zone/name</t>
  </si>
  <si>
    <t>to_zone/name</t>
  </si>
  <si>
    <t>Disabled rules</t>
  </si>
  <si>
    <t>Unattached network objects</t>
  </si>
  <si>
    <t>Duplicate network objects</t>
  </si>
  <si>
    <t>Duplicate Services</t>
  </si>
  <si>
    <t>Empty Groups</t>
  </si>
  <si>
    <t>Fully shadowed and redundant rules</t>
  </si>
  <si>
    <t>Add Cleanup Stats (slower):</t>
  </si>
  <si>
    <t>SecureTrack (required for all sheets except Request)</t>
  </si>
  <si>
    <t>SecureChange (required for the Request sheet only)</t>
  </si>
  <si>
    <t>disabled</t>
  </si>
  <si>
    <t>Disabled</t>
  </si>
  <si>
    <t>documentation/tech_owner</t>
  </si>
  <si>
    <t>Technical Owner</t>
  </si>
  <si>
    <t>Application</t>
  </si>
  <si>
    <t>Application Owner</t>
  </si>
  <si>
    <t>Expiration Date</t>
  </si>
  <si>
    <t>documentation/record_set/expireDate</t>
  </si>
  <si>
    <t>documentation/secure_app_application/app_name</t>
  </si>
  <si>
    <t>documentation/secure_app_application/app_owner</t>
  </si>
  <si>
    <t>Rule ID</t>
  </si>
  <si>
    <t>Unused Objects</t>
  </si>
  <si>
    <t>yes/no</t>
  </si>
  <si>
    <t>status</t>
  </si>
  <si>
    <t>subject</t>
  </si>
  <si>
    <t>requester</t>
  </si>
  <si>
    <t>priority</t>
  </si>
  <si>
    <t>domain_name</t>
  </si>
  <si>
    <t>application_details/display_name</t>
  </si>
  <si>
    <t>workflow/name</t>
  </si>
  <si>
    <t>current_step/name</t>
  </si>
  <si>
    <t>Technical Design and Implementation</t>
  </si>
  <si>
    <t>Ticket ID</t>
  </si>
  <si>
    <t>Requester</t>
  </si>
  <si>
    <t>Status</t>
  </si>
  <si>
    <t>Application (SecureApp)</t>
  </si>
  <si>
    <t>Current Step</t>
  </si>
  <si>
    <t>First Ticket to retrieve:</t>
  </si>
  <si>
    <t>Number of tickets to retrieve:</t>
  </si>
  <si>
    <t>Verifier step name:</t>
  </si>
  <si>
    <t>Verification</t>
  </si>
  <si>
    <t>`</t>
  </si>
  <si>
    <t>orig_src_network/display_name</t>
  </si>
  <si>
    <t>Original Source</t>
  </si>
  <si>
    <t>documentation/comment</t>
  </si>
  <si>
    <t>Description</t>
  </si>
  <si>
    <t>test</t>
  </si>
  <si>
    <t>192.168.1.1</t>
  </si>
  <si>
    <t>172.16.1.8</t>
  </si>
  <si>
    <t>TCP</t>
  </si>
  <si>
    <t>10.100.200.204</t>
  </si>
  <si>
    <t>admin</t>
  </si>
  <si>
    <t>Accept</t>
  </si>
  <si>
    <t>Any</t>
  </si>
  <si>
    <t>Request</t>
  </si>
  <si>
    <t>Response</t>
  </si>
  <si>
    <t>Exclude Any</t>
  </si>
  <si>
    <t>Value 1</t>
  </si>
  <si>
    <t>Value 2</t>
  </si>
  <si>
    <t>Value 3</t>
  </si>
  <si>
    <t>…</t>
  </si>
  <si>
    <t>tcp:80</t>
  </si>
  <si>
    <t>tcp:23</t>
  </si>
  <si>
    <t>192.168.1.0/24</t>
  </si>
  <si>
    <t>Mobile Access to Finance Information</t>
  </si>
  <si>
    <t>Virtual DC (NSX) - Mail Service</t>
  </si>
  <si>
    <t>Access to Sales</t>
  </si>
  <si>
    <t xml:space="preserve">
Henry Carr
Henry Carr</t>
  </si>
  <si>
    <t xml:space="preserve">
29
34</t>
  </si>
  <si>
    <t>2016-04-28T00:00:00+03:00</t>
  </si>
  <si>
    <t>Fred Davis</t>
  </si>
  <si>
    <t>Mobile Access to PCI information</t>
  </si>
  <si>
    <t>Henry Carr</t>
  </si>
  <si>
    <t>Mobile users access</t>
  </si>
  <si>
    <t xml:space="preserve">
</t>
  </si>
  <si>
    <t xml:space="preserve">
28
82</t>
  </si>
  <si>
    <t>2015-10-22T00:00:00+03:00</t>
  </si>
  <si>
    <t xml:space="preserve">
Mail Service - For Create Ticket
Mail Service</t>
  </si>
  <si>
    <t xml:space="preserve">
Carl Garcia
Carl Garcia</t>
  </si>
  <si>
    <t>Active Directory</t>
  </si>
  <si>
    <t xml:space="preserve">
18
19</t>
  </si>
  <si>
    <t>2017-07-21T00:00:00+03:00</t>
  </si>
  <si>
    <t>California access 01</t>
  </si>
  <si>
    <t>Decommision 02 - Simple rule removal</t>
  </si>
  <si>
    <t>Carl Garcia</t>
  </si>
  <si>
    <t xml:space="preserve">
58
59</t>
  </si>
  <si>
    <t>Tina White</t>
  </si>
  <si>
    <t>2016-01-07T00:00:00+02:00</t>
  </si>
  <si>
    <t>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</si>
</sst>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vertical="top"/>
    </xf>
    <xf numFmtId="0" fontId="1" fillId="2" borderId="0" xfId="0" applyFont="1" applyFill="1"/>
    <xf numFmtId="0" fontId="0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0" fillId="0" borderId="0" xfId="0" applyFont="1" applyAlignment="1">
      <alignment wrapText="1"/>
    </xf>
    <xf numFmtId="0" fontId="3" fillId="0" borderId="0" xfId="0" applyFont="1"/>
    <xf numFmtId="0" fontId="0" fillId="0" borderId="0" xfId="0" applyBorder="1"/>
    <xf numFmtId="0" fontId="0" fillId="0" borderId="2" xfId="0" applyBorder="1"/>
    <xf numFmtId="0" fontId="1" fillId="0" borderId="1" xfId="0" applyFont="1" applyBorder="1"/>
    <xf numFmtId="0" fontId="1" fillId="0" borderId="0" xfId="0" applyFont="1" applyBorder="1"/>
    <xf numFmtId="0" fontId="1" fillId="0" borderId="2" xfId="0" applyFont="1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47626</xdr:colOff>
      <xdr:row>0</xdr:row>
      <xdr:rowOff>133350</xdr:rowOff>
    </xdr:from>
    <xdr:to>
      <xdr:col>3</xdr:col>
      <xdr:colOff>257176</xdr:colOff>
      <xdr:row>2</xdr:row>
      <xdr:rowOff>104775</xdr:rowOff>
    </xdr:to>
    <xdr:sp macro="[0]!SubmitAccessRequest" textlink="">
      <xdr:nvSpPr>
        <xdr:cNvPr id="2" name="Rounded Rectangle 1"/>
        <xdr:cNvSpPr/>
      </xdr:nvSpPr>
      <xdr:spPr>
        <a:xfrm>
          <a:off x="4514851" y="133350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  <xdr:twoCellAnchor>
    <xdr:from>
      <xdr:col>4</xdr:col>
      <xdr:colOff>0</xdr:colOff>
      <xdr:row>0</xdr:row>
      <xdr:rowOff>142874</xdr:rowOff>
    </xdr:from>
    <xdr:to>
      <xdr:col>13</xdr:col>
      <xdr:colOff>209550</xdr:colOff>
      <xdr:row>11</xdr:row>
      <xdr:rowOff>123825</xdr:rowOff>
    </xdr:to>
    <xdr:sp macro="" textlink="">
      <xdr:nvSpPr>
        <xdr:cNvPr id="4" name="Rectangle 3"/>
        <xdr:cNvSpPr/>
      </xdr:nvSpPr>
      <xdr:spPr>
        <a:xfrm>
          <a:off x="5934075" y="142874"/>
          <a:ext cx="5695950" cy="20764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submit access requests in SecureChange.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This form and the attched VBA script are designed for a workflow with a single mandatory field: access request.</a:t>
          </a:r>
        </a:p>
        <a:p>
          <a:pPr algn="l"/>
          <a:r>
            <a:rPr lang="en-US" sz="1400" baseline="0">
              <a:solidFill>
                <a:srgbClr val="FFFF00"/>
              </a:solidFill>
            </a:rPr>
            <a:t>If your workflow contains additional fields you need to adapt the spreadsheet and the script.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You can also use this to implement changes from the Automatic Policy Generator (APG).</a:t>
          </a:r>
        </a:p>
        <a:p>
          <a:pPr algn="l"/>
          <a:endParaRPr lang="en-US" sz="14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1571625</xdr:colOff>
      <xdr:row>0</xdr:row>
      <xdr:rowOff>123825</xdr:rowOff>
    </xdr:from>
    <xdr:to>
      <xdr:col>3</xdr:col>
      <xdr:colOff>3048001</xdr:colOff>
      <xdr:row>2</xdr:row>
      <xdr:rowOff>95250</xdr:rowOff>
    </xdr:to>
    <xdr:sp macro="[0]!GetTickets" textlink="">
      <xdr:nvSpPr>
        <xdr:cNvPr id="3" name="Rounded Rectangle 2"/>
        <xdr:cNvSpPr/>
      </xdr:nvSpPr>
      <xdr:spPr>
        <a:xfrm>
          <a:off x="4391025" y="123825"/>
          <a:ext cx="1476376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Tickets</a:t>
          </a:r>
        </a:p>
      </xdr:txBody>
    </xdr:sp>
    <xdr:clientData/>
  </xdr:twoCellAnchor>
  <xdr:twoCellAnchor>
    <xdr:from>
      <xdr:col>4</xdr:col>
      <xdr:colOff>542925</xdr:colOff>
      <xdr:row>0</xdr:row>
      <xdr:rowOff>180975</xdr:rowOff>
    </xdr:from>
    <xdr:to>
      <xdr:col>8</xdr:col>
      <xdr:colOff>1704975</xdr:colOff>
      <xdr:row>2</xdr:row>
      <xdr:rowOff>133350</xdr:rowOff>
    </xdr:to>
    <xdr:sp macro="" textlink="">
      <xdr:nvSpPr>
        <xdr:cNvPr id="4" name="Rectangle 3"/>
        <xdr:cNvSpPr/>
      </xdr:nvSpPr>
      <xdr:spPr>
        <a:xfrm>
          <a:off x="6886575" y="180975"/>
          <a:ext cx="54006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tickets in SecureChange.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409574</xdr:colOff>
      <xdr:row>2</xdr:row>
      <xdr:rowOff>47625</xdr:rowOff>
    </xdr:from>
    <xdr:to>
      <xdr:col>1</xdr:col>
      <xdr:colOff>123825</xdr:colOff>
      <xdr:row>4</xdr:row>
      <xdr:rowOff>19050</xdr:rowOff>
    </xdr:to>
    <xdr:sp macro="[0]!GetDevices" textlink="">
      <xdr:nvSpPr>
        <xdr:cNvPr id="4" name="Rounded Rectangle 3"/>
        <xdr:cNvSpPr/>
      </xdr:nvSpPr>
      <xdr:spPr>
        <a:xfrm>
          <a:off x="409574" y="428625"/>
          <a:ext cx="1447801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Devices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0</xdr:col>
      <xdr:colOff>1228725</xdr:colOff>
      <xdr:row>3</xdr:row>
      <xdr:rowOff>152400</xdr:rowOff>
    </xdr:to>
    <xdr:sp macro="[0]!GetRules" textlink="">
      <xdr:nvSpPr>
        <xdr:cNvPr id="4" name="Rounded Rectangle 3"/>
        <xdr:cNvSpPr/>
      </xdr:nvSpPr>
      <xdr:spPr>
        <a:xfrm>
          <a:off x="171450" y="352425"/>
          <a:ext cx="10572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Rules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123826</xdr:colOff>
      <xdr:row>3</xdr:row>
      <xdr:rowOff>57150</xdr:rowOff>
    </xdr:from>
    <xdr:to>
      <xdr:col>9</xdr:col>
      <xdr:colOff>581026</xdr:colOff>
      <xdr:row>5</xdr:row>
      <xdr:rowOff>28575</xdr:rowOff>
    </xdr:to>
    <xdr:sp macro="[0]!PolicyAnalysis" textlink="">
      <xdr:nvSpPr>
        <xdr:cNvPr id="2" name="Rounded Rectangle 1"/>
        <xdr:cNvSpPr/>
      </xdr:nvSpPr>
      <xdr:spPr>
        <a:xfrm>
          <a:off x="6924676" y="628650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1</xdr:col>
      <xdr:colOff>66675</xdr:colOff>
      <xdr:row>3</xdr:row>
      <xdr:rowOff>152400</xdr:rowOff>
    </xdr:to>
    <xdr:sp macro="[0]!GetNatRules" textlink="">
      <xdr:nvSpPr>
        <xdr:cNvPr id="2" name="Rounded Rectangle 1"/>
        <xdr:cNvSpPr/>
      </xdr:nvSpPr>
      <xdr:spPr>
        <a:xfrm>
          <a:off x="171450" y="352425"/>
          <a:ext cx="139065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NAT Rules</a:t>
          </a:r>
        </a:p>
      </xdr:txBody>
    </xdr:sp>
    <xdr:clientData/>
  </xdr:twoCellAnchor>
  <xdr:twoCellAnchor>
    <xdr:from>
      <xdr:col>3</xdr:col>
      <xdr:colOff>600075</xdr:colOff>
      <xdr:row>1</xdr:row>
      <xdr:rowOff>95250</xdr:rowOff>
    </xdr:from>
    <xdr:to>
      <xdr:col>9</xdr:col>
      <xdr:colOff>457200</xdr:colOff>
      <xdr:row>3</xdr:row>
      <xdr:rowOff>66675</xdr:rowOff>
    </xdr:to>
    <xdr:sp macro="" textlink="">
      <xdr:nvSpPr>
        <xdr:cNvPr id="3" name="Rectangle 2"/>
        <xdr:cNvSpPr/>
      </xdr:nvSpPr>
      <xdr:spPr>
        <a:xfrm>
          <a:off x="3743325" y="285750"/>
          <a:ext cx="511492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>
              <a:solidFill>
                <a:srgbClr val="FFFF00"/>
              </a:solidFill>
            </a:rPr>
            <a:t>Note: this sheet is still under development. Please help finish it off.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</xdr:row>
      <xdr:rowOff>95251</xdr:rowOff>
    </xdr:from>
    <xdr:to>
      <xdr:col>1</xdr:col>
      <xdr:colOff>180975</xdr:colOff>
      <xdr:row>3</xdr:row>
      <xdr:rowOff>19051</xdr:rowOff>
    </xdr:to>
    <xdr:sp macro="[0]!GetNetworkObjects" textlink="">
      <xdr:nvSpPr>
        <xdr:cNvPr id="2" name="Rounded Rectangle 1"/>
        <xdr:cNvSpPr/>
      </xdr:nvSpPr>
      <xdr:spPr>
        <a:xfrm>
          <a:off x="457200" y="285751"/>
          <a:ext cx="13335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Objects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</xdr:row>
      <xdr:rowOff>123825</xdr:rowOff>
    </xdr:from>
    <xdr:to>
      <xdr:col>1</xdr:col>
      <xdr:colOff>304800</xdr:colOff>
      <xdr:row>3</xdr:row>
      <xdr:rowOff>47625</xdr:rowOff>
    </xdr:to>
    <xdr:sp macro="[0]!GetServices" textlink="">
      <xdr:nvSpPr>
        <xdr:cNvPr id="2" name="Rounded Rectangle 1"/>
        <xdr:cNvSpPr/>
      </xdr:nvSpPr>
      <xdr:spPr>
        <a:xfrm>
          <a:off x="419100" y="314325"/>
          <a:ext cx="14097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Services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123825</xdr:rowOff>
    </xdr:from>
    <xdr:to>
      <xdr:col>1</xdr:col>
      <xdr:colOff>457200</xdr:colOff>
      <xdr:row>3</xdr:row>
      <xdr:rowOff>47625</xdr:rowOff>
    </xdr:to>
    <xdr:sp macro="[0]!GetAcls" textlink="">
      <xdr:nvSpPr>
        <xdr:cNvPr id="2" name="Rounded Rectangle 1"/>
        <xdr:cNvSpPr/>
      </xdr:nvSpPr>
      <xdr:spPr>
        <a:xfrm>
          <a:off x="285750" y="314325"/>
          <a:ext cx="16954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ACL Statistics</a:t>
          </a:r>
        </a:p>
      </xdr:txBody>
    </xdr:sp>
    <xdr:clientData/>
  </xdr:twoCellAnchor>
  <xdr:twoCellAnchor>
    <xdr:from>
      <xdr:col>4</xdr:col>
      <xdr:colOff>1057275</xdr:colOff>
      <xdr:row>1</xdr:row>
      <xdr:rowOff>66675</xdr:rowOff>
    </xdr:from>
    <xdr:to>
      <xdr:col>9</xdr:col>
      <xdr:colOff>523875</xdr:colOff>
      <xdr:row>3</xdr:row>
      <xdr:rowOff>38100</xdr:rowOff>
    </xdr:to>
    <xdr:sp macro="" textlink="">
      <xdr:nvSpPr>
        <xdr:cNvPr id="3" name="Rectangle 2"/>
        <xdr:cNvSpPr/>
      </xdr:nvSpPr>
      <xdr:spPr>
        <a:xfrm>
          <a:off x="7143750" y="257175"/>
          <a:ext cx="501967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ACLs in Cisco devices.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1</xdr:row>
      <xdr:rowOff>123825</xdr:rowOff>
    </xdr:from>
    <xdr:to>
      <xdr:col>1</xdr:col>
      <xdr:colOff>581024</xdr:colOff>
      <xdr:row>3</xdr:row>
      <xdr:rowOff>47625</xdr:rowOff>
    </xdr:to>
    <xdr:sp macro="[0]!GetPolicies" textlink="">
      <xdr:nvSpPr>
        <xdr:cNvPr id="2" name="Rounded Rectangle 1"/>
        <xdr:cNvSpPr/>
      </xdr:nvSpPr>
      <xdr:spPr>
        <a:xfrm>
          <a:off x="285749" y="314325"/>
          <a:ext cx="181927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342901</xdr:colOff>
      <xdr:row>1</xdr:row>
      <xdr:rowOff>133350</xdr:rowOff>
    </xdr:from>
    <xdr:to>
      <xdr:col>2</xdr:col>
      <xdr:colOff>247651</xdr:colOff>
      <xdr:row>3</xdr:row>
      <xdr:rowOff>57150</xdr:rowOff>
    </xdr:to>
    <xdr:sp macro="[0]!GetZonePolicies" textlink="">
      <xdr:nvSpPr>
        <xdr:cNvPr id="2" name="Rounded Rectangle 1"/>
        <xdr:cNvSpPr/>
      </xdr:nvSpPr>
      <xdr:spPr>
        <a:xfrm>
          <a:off x="342901" y="323850"/>
          <a:ext cx="20383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  <xdr:twoCellAnchor>
    <xdr:from>
      <xdr:col>6</xdr:col>
      <xdr:colOff>285750</xdr:colOff>
      <xdr:row>1</xdr:row>
      <xdr:rowOff>104775</xdr:rowOff>
    </xdr:from>
    <xdr:to>
      <xdr:col>14</xdr:col>
      <xdr:colOff>171450</xdr:colOff>
      <xdr:row>4</xdr:row>
      <xdr:rowOff>95250</xdr:rowOff>
    </xdr:to>
    <xdr:sp macro="" textlink="">
      <xdr:nvSpPr>
        <xdr:cNvPr id="3" name="Rectangle 2"/>
        <xdr:cNvSpPr/>
      </xdr:nvSpPr>
      <xdr:spPr>
        <a:xfrm>
          <a:off x="7705725" y="295275"/>
          <a:ext cx="5400675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security policies in zone-based firewalls such as Palo Alto Networks, Juniper and Fortinet.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15</xdr:row>
      <xdr:rowOff>104775</xdr:rowOff>
    </xdr:from>
    <xdr:to>
      <xdr:col>2</xdr:col>
      <xdr:colOff>2562225</xdr:colOff>
      <xdr:row>17</xdr:row>
      <xdr:rowOff>57150</xdr:rowOff>
    </xdr:to>
    <xdr:sp macro="" textlink="">
      <xdr:nvSpPr>
        <xdr:cNvPr id="2" name="Rectangle 1"/>
        <xdr:cNvSpPr/>
      </xdr:nvSpPr>
      <xdr:spPr>
        <a:xfrm>
          <a:off x="885825" y="3105150"/>
          <a:ext cx="455295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You must set the values here before using the other sheets.</a:t>
          </a:r>
        </a:p>
        <a:p>
          <a:pPr algn="l"/>
          <a:endParaRPr lang="en-US" sz="14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sz="1400" baseline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workbookViewId="0"/>
  </sheetViews>
  <sheetFormatPr defaultRowHeight="15" x14ac:dyDescent="0.25"/>
  <cols>
    <col min="1" max="1" width="35.28515625" bestFit="1" customWidth="1"/>
    <col min="2" max="2" width="31.7109375" bestFit="1" customWidth="1"/>
    <col min="3" max="3" width="12.85546875" customWidth="1"/>
  </cols>
  <sheetData>
    <row r="1" spans="1:4" s="2" customFormat="1" x14ac:dyDescent="0.25">
      <c r="A1" s="1" t="s">
        <v>13</v>
      </c>
      <c r="B1" s="1" t="s">
        <v>14</v>
      </c>
      <c r="C1"/>
      <c r="D1"/>
    </row>
    <row r="2" spans="1:4" x14ac:dyDescent="0.25">
      <c r="A2" t="s">
        <v>4</v>
      </c>
      <c r="B2" t="s">
        <v>5</v>
      </c>
    </row>
    <row r="3" spans="1:4" x14ac:dyDescent="0.25">
      <c r="A3" t="s">
        <v>0</v>
      </c>
      <c r="B3" t="s">
        <v>12</v>
      </c>
    </row>
    <row r="10" spans="1:4" s="1" customFormat="1" x14ac:dyDescent="0.25">
      <c r="A10" s="1" t="s">
        <v>16</v>
      </c>
      <c r="B10" s="1" t="s">
        <v>17</v>
      </c>
      <c r="C10" s="1" t="s">
        <v>8</v>
      </c>
      <c r="D10" s="1" t="s">
        <v>7</v>
      </c>
    </row>
    <row r="11" spans="1:4" x14ac:dyDescent="0.25">
      <c r="A11" t="s">
        <v>9</v>
      </c>
      <c r="B11" t="s">
        <v>11</v>
      </c>
      <c r="C11">
        <v>53</v>
      </c>
      <c r="D11" t="s">
        <v>10</v>
      </c>
    </row>
    <row r="12" spans="1:4" x14ac:dyDescent="0.25">
      <c r="A12" t="s">
        <v>182</v>
      </c>
      <c r="B12" t="s">
        <v>183</v>
      </c>
      <c r="C12">
        <v>80</v>
      </c>
      <c r="D12" t="s">
        <v>184</v>
      </c>
    </row>
    <row r="20" spans="5:5" x14ac:dyDescent="0.25">
      <c r="E20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5"/>
  <sheetViews>
    <sheetView workbookViewId="0"/>
  </sheetViews>
  <sheetFormatPr defaultRowHeight="15" x14ac:dyDescent="0.25"/>
  <cols>
    <col min="1" max="1" width="27.28515625" customWidth="1"/>
    <col min="2" max="2" width="6.42578125" customWidth="1"/>
    <col min="3" max="3" width="8.5703125" bestFit="1" customWidth="1"/>
    <col min="4" max="4" width="52.85546875" customWidth="1"/>
    <col min="5" max="5" width="10.42578125" bestFit="1" customWidth="1"/>
    <col min="6" max="6" width="7.5703125" bestFit="1" customWidth="1"/>
    <col min="7" max="7" width="15.5703125" bestFit="1" customWidth="1"/>
    <col min="8" max="8" width="30" customWidth="1"/>
    <col min="9" max="9" width="35.5703125" customWidth="1"/>
    <col min="10" max="10" width="23.28515625" customWidth="1"/>
    <col min="11" max="11" width="13.85546875" bestFit="1" customWidth="1"/>
    <col min="12" max="12" width="35" bestFit="1" customWidth="1"/>
  </cols>
  <sheetData>
    <row r="1" spans="1:12" x14ac:dyDescent="0.25">
      <c r="A1" s="1" t="s">
        <v>172</v>
      </c>
      <c r="B1">
        <v>80</v>
      </c>
    </row>
    <row r="2" spans="1:12" x14ac:dyDescent="0.25">
      <c r="A2" s="1" t="s">
        <v>173</v>
      </c>
      <c r="B2">
        <v>5</v>
      </c>
    </row>
    <row r="3" spans="1:12" x14ac:dyDescent="0.25">
      <c r="A3" s="1" t="s">
        <v>174</v>
      </c>
      <c r="B3" t="s">
        <v>166</v>
      </c>
    </row>
    <row r="9" spans="1:12" x14ac:dyDescent="0.25">
      <c r="C9" t="s">
        <v>39</v>
      </c>
      <c r="D9" t="s">
        <v>159</v>
      </c>
      <c r="E9" t="s">
        <v>160</v>
      </c>
      <c r="F9" t="s">
        <v>161</v>
      </c>
      <c r="G9" t="s">
        <v>158</v>
      </c>
      <c r="H9" t="s">
        <v>164</v>
      </c>
      <c r="I9" t="s">
        <v>165</v>
      </c>
      <c r="J9" t="str">
        <f>"steps/step[name='"&amp;B3&amp;"']/tasks/task/fields/field/access_request/*[name()='order' or name()='verifier_result']"</f>
        <v>steps/step[name='Technical Design and Implementation']/tasks/task/fields/field/access_request/*[name()='order' or name()='verifier_result']</v>
      </c>
      <c r="K9" t="s">
        <v>162</v>
      </c>
      <c r="L9" t="s">
        <v>163</v>
      </c>
    </row>
    <row r="10" spans="1:12" s="1" customFormat="1" x14ac:dyDescent="0.25">
      <c r="C10" s="1" t="s">
        <v>167</v>
      </c>
      <c r="D10" s="1" t="s">
        <v>0</v>
      </c>
      <c r="E10" s="1" t="s">
        <v>168</v>
      </c>
      <c r="F10" s="1" t="s">
        <v>4</v>
      </c>
      <c r="G10" s="1" t="s">
        <v>169</v>
      </c>
      <c r="H10" s="1" t="s">
        <v>2</v>
      </c>
      <c r="I10" s="1" t="s">
        <v>171</v>
      </c>
      <c r="J10" s="1" t="s">
        <v>175</v>
      </c>
      <c r="K10" s="1" t="s">
        <v>3</v>
      </c>
      <c r="L10" s="1" t="s">
        <v>170</v>
      </c>
    </row>
    <row r="11" spans="1:12" x14ac:dyDescent="0.25">
      <c r="J11" s="5"/>
    </row>
    <row r="12" spans="1:12" x14ac:dyDescent="0.25">
      <c r="J12" s="5"/>
    </row>
    <row r="13" spans="1:12" x14ac:dyDescent="0.25">
      <c r="J13" s="5"/>
    </row>
    <row r="14" spans="1:12" x14ac:dyDescent="0.25">
      <c r="J14" s="5"/>
    </row>
    <row r="15" spans="1:12" x14ac:dyDescent="0.25">
      <c r="J15" s="5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"/>
  <sheetViews>
    <sheetView workbookViewId="0"/>
  </sheetViews>
  <sheetFormatPr defaultRowHeight="15" x14ac:dyDescent="0.25"/>
  <cols>
    <col min="1" max="1" width="26" bestFit="1" customWidth="1"/>
    <col min="2" max="2" width="19.42578125" bestFit="1" customWidth="1"/>
    <col min="3" max="3" width="17.42578125" bestFit="1" customWidth="1"/>
    <col min="4" max="4" width="30.140625" customWidth="1"/>
    <col min="5" max="5" width="17.28515625" bestFit="1" customWidth="1"/>
    <col min="6" max="6" width="28" customWidth="1"/>
    <col min="7" max="7" width="24.5703125" bestFit="1" customWidth="1"/>
    <col min="8" max="8" width="17.42578125" bestFit="1" customWidth="1"/>
    <col min="9" max="9" width="13.5703125" bestFit="1" customWidth="1"/>
    <col min="10" max="10" width="34" bestFit="1" customWidth="1"/>
    <col min="11" max="11" width="15.140625" bestFit="1" customWidth="1"/>
  </cols>
  <sheetData>
    <row r="1" spans="1:11" x14ac:dyDescent="0.25">
      <c r="A1" s="1" t="s">
        <v>142</v>
      </c>
      <c r="B1" t="s">
        <v>157</v>
      </c>
    </row>
    <row r="6" spans="1:11" s="1" customFormat="1" x14ac:dyDescent="0.25">
      <c r="A6" s="1" t="s">
        <v>24</v>
      </c>
      <c r="B6" s="1" t="s">
        <v>29</v>
      </c>
      <c r="C6" s="1" t="s">
        <v>30</v>
      </c>
      <c r="D6" s="1" t="s">
        <v>31</v>
      </c>
      <c r="E6" s="1" t="s">
        <v>136</v>
      </c>
      <c r="F6" s="1" t="s">
        <v>137</v>
      </c>
      <c r="G6" s="1" t="s">
        <v>138</v>
      </c>
      <c r="H6" s="1" t="s">
        <v>139</v>
      </c>
      <c r="I6" s="1" t="s">
        <v>140</v>
      </c>
      <c r="J6" s="1" t="s">
        <v>141</v>
      </c>
      <c r="K6" s="1" t="s">
        <v>156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46"/>
  <sheetViews>
    <sheetView workbookViewId="0">
      <pane ySplit="106500" topLeftCell="A355"/>
      <selection pane="bottomLeft" activeCell="G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84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9" spans="1:38" x14ac:dyDescent="0.25">
      <c r="C9" t="s">
        <v>39</v>
      </c>
      <c r="D9" t="s">
        <v>33</v>
      </c>
      <c r="E9" t="s">
        <v>34</v>
      </c>
      <c r="F9" t="s">
        <v>35</v>
      </c>
      <c r="G9" t="s">
        <v>52</v>
      </c>
      <c r="H9" t="s">
        <v>43</v>
      </c>
      <c r="I9" t="s">
        <v>44</v>
      </c>
      <c r="J9" t="s">
        <v>125</v>
      </c>
      <c r="K9" t="s">
        <v>126</v>
      </c>
      <c r="L9" t="s">
        <v>67</v>
      </c>
      <c r="M9" t="s">
        <v>45</v>
      </c>
      <c r="N9" t="s">
        <v>46</v>
      </c>
      <c r="O9" t="s">
        <v>53</v>
      </c>
      <c r="P9" t="s">
        <v>54</v>
      </c>
      <c r="Q9" t="s">
        <v>55</v>
      </c>
      <c r="R9" t="s">
        <v>47</v>
      </c>
      <c r="S9" t="s">
        <v>48</v>
      </c>
      <c r="T9" t="s">
        <v>49</v>
      </c>
      <c r="U9" t="s">
        <v>50</v>
      </c>
      <c r="V9" t="s">
        <v>40</v>
      </c>
      <c r="W9" t="s">
        <v>57</v>
      </c>
      <c r="X9" t="s">
        <v>145</v>
      </c>
      <c r="Y9" t="s">
        <v>42</v>
      </c>
      <c r="Z9" t="s">
        <v>41</v>
      </c>
      <c r="AA9" t="s">
        <v>51</v>
      </c>
      <c r="AB9" t="s">
        <v>56</v>
      </c>
      <c r="AC9" t="s">
        <v>58</v>
      </c>
      <c r="AD9" t="s">
        <v>78</v>
      </c>
      <c r="AE9" t="s">
        <v>79</v>
      </c>
      <c r="AF9" t="s">
        <v>80</v>
      </c>
      <c r="AG9" t="s">
        <v>152</v>
      </c>
      <c r="AH9" t="s">
        <v>147</v>
      </c>
      <c r="AI9" t="s">
        <v>153</v>
      </c>
      <c r="AJ9" t="s">
        <v>154</v>
      </c>
      <c r="AK9" t="s">
        <v>179</v>
      </c>
    </row>
    <row r="10" spans="1:38" s="1" customFormat="1" x14ac:dyDescent="0.25">
      <c r="A10" s="1" t="s">
        <v>96</v>
      </c>
      <c r="B10" s="1" t="s">
        <v>97</v>
      </c>
      <c r="C10" s="1" t="s">
        <v>155</v>
      </c>
      <c r="D10" s="1" t="s">
        <v>59</v>
      </c>
      <c r="E10" s="1" t="s">
        <v>60</v>
      </c>
      <c r="F10" s="1" t="s">
        <v>61</v>
      </c>
      <c r="G10" s="1" t="s">
        <v>71</v>
      </c>
      <c r="H10" s="1" t="s">
        <v>31</v>
      </c>
      <c r="I10" s="1" t="s">
        <v>95</v>
      </c>
      <c r="J10" s="1" t="s">
        <v>64</v>
      </c>
      <c r="K10" s="1" t="s">
        <v>65</v>
      </c>
      <c r="L10" s="1" t="s">
        <v>66</v>
      </c>
      <c r="M10" s="1" t="s">
        <v>62</v>
      </c>
      <c r="N10" s="1" t="s">
        <v>63</v>
      </c>
      <c r="O10" s="1" t="s">
        <v>16</v>
      </c>
      <c r="P10" s="1" t="s">
        <v>72</v>
      </c>
      <c r="Q10" s="1" t="s">
        <v>73</v>
      </c>
      <c r="R10" s="1" t="s">
        <v>17</v>
      </c>
      <c r="S10" s="1" t="s">
        <v>68</v>
      </c>
      <c r="T10" s="1" t="s">
        <v>37</v>
      </c>
      <c r="U10" s="1" t="s">
        <v>69</v>
      </c>
      <c r="V10" s="1" t="s">
        <v>36</v>
      </c>
      <c r="W10" s="1" t="s">
        <v>75</v>
      </c>
      <c r="X10" s="1" t="s">
        <v>146</v>
      </c>
      <c r="Y10" s="1" t="s">
        <v>76</v>
      </c>
      <c r="Z10" s="1" t="s">
        <v>38</v>
      </c>
      <c r="AA10" s="1" t="s">
        <v>70</v>
      </c>
      <c r="AB10" s="1" t="s">
        <v>74</v>
      </c>
      <c r="AC10" s="1" t="s">
        <v>77</v>
      </c>
      <c r="AD10" s="1" t="s">
        <v>81</v>
      </c>
      <c r="AE10" s="1" t="s">
        <v>82</v>
      </c>
      <c r="AF10" s="1" t="s">
        <v>83</v>
      </c>
      <c r="AG10" s="1" t="s">
        <v>151</v>
      </c>
      <c r="AH10" s="1" t="s">
        <v>148</v>
      </c>
      <c r="AI10" s="1" t="s">
        <v>149</v>
      </c>
      <c r="AJ10" s="1" t="s">
        <v>150</v>
      </c>
      <c r="AK10" s="1" t="s">
        <v>180</v>
      </c>
    </row>
    <row r="11" spans="1:38" s="4" customFormat="1" x14ac:dyDescent="0.25">
      <c r="R11" s="7"/>
    </row>
    <row r="12" spans="1:38" s="4" customFormat="1" ht="45" x14ac:dyDescent="0.25">
      <c r="O12" s="7"/>
      <c r="T12" s="7"/>
      <c r="AE12" s="7" t="s">
        <v>202</v>
      </c>
      <c r="AF12" s="7" t="s">
        <v>203</v>
      </c>
      <c r="AG12" s="4" t="s">
        <v>204</v>
      </c>
      <c r="AH12" s="4" t="s">
        <v>205</v>
      </c>
      <c r="AI12" s="4" t="s">
        <v>206</v>
      </c>
      <c r="AJ12" s="4" t="s">
        <v>207</v>
      </c>
      <c r="AK12" s="4" t="s">
        <v>208</v>
      </c>
    </row>
    <row r="13" spans="1:38" ht="45" x14ac:dyDescent="0.25">
      <c r="O13" s="5"/>
      <c r="AD13" s="5" t="s">
        <v>209</v>
      </c>
      <c r="AE13" s="5" t="s">
        <v>202</v>
      </c>
      <c r="AF13" s="5" t="s">
        <v>210</v>
      </c>
      <c r="AG13" t="s">
        <v>211</v>
      </c>
      <c r="AI13" t="s">
        <v>199</v>
      </c>
      <c r="AJ13" t="s">
        <v>207</v>
      </c>
    </row>
    <row r="14" spans="1:38" x14ac:dyDescent="0.25">
      <c r="O14" s="5"/>
      <c r="T14" s="5"/>
      <c r="AE14" t="s">
        <v>207</v>
      </c>
      <c r="AF14">
        <v>27</v>
      </c>
    </row>
    <row r="15" spans="1:38" x14ac:dyDescent="0.25">
      <c r="O15" s="5"/>
      <c r="T15" s="5"/>
      <c r="AE15" t="s">
        <v>207</v>
      </c>
      <c r="AF15">
        <v>27</v>
      </c>
    </row>
    <row r="16" spans="1:38" x14ac:dyDescent="0.25">
      <c r="R16" s="5"/>
      <c r="AE16" t="s">
        <v>207</v>
      </c>
      <c r="AF16">
        <v>23</v>
      </c>
    </row>
    <row r="17" spans="15:37" ht="60" x14ac:dyDescent="0.25">
      <c r="O17" s="5"/>
      <c r="AE17" t="s">
        <v>207</v>
      </c>
      <c r="AF17">
        <v>23</v>
      </c>
      <c r="AI17" s="5" t="s">
        <v>212</v>
      </c>
      <c r="AJ17" s="5" t="s">
        <v>213</v>
      </c>
    </row>
    <row r="18" spans="15:37" x14ac:dyDescent="0.25">
      <c r="R18" s="5"/>
      <c r="AE18" t="s">
        <v>207</v>
      </c>
      <c r="AF18">
        <v>22</v>
      </c>
    </row>
    <row r="19" spans="15:37" x14ac:dyDescent="0.25">
      <c r="O19" s="5"/>
      <c r="AE19" t="s">
        <v>207</v>
      </c>
      <c r="AF19">
        <v>22</v>
      </c>
    </row>
    <row r="20" spans="15:37" x14ac:dyDescent="0.25">
      <c r="R20" s="5"/>
      <c r="T20" s="5"/>
      <c r="AE20" t="s">
        <v>207</v>
      </c>
      <c r="AF20">
        <v>21</v>
      </c>
      <c r="AI20" t="s">
        <v>214</v>
      </c>
      <c r="AJ20" t="s">
        <v>207</v>
      </c>
    </row>
    <row r="21" spans="15:37" x14ac:dyDescent="0.25">
      <c r="O21" s="5"/>
      <c r="T21" s="5"/>
      <c r="AE21" t="s">
        <v>207</v>
      </c>
      <c r="AF21">
        <v>21</v>
      </c>
      <c r="AI21" t="s">
        <v>214</v>
      </c>
      <c r="AJ21" t="s">
        <v>207</v>
      </c>
    </row>
    <row r="22" spans="15:37" ht="45" x14ac:dyDescent="0.25">
      <c r="AD22" s="5" t="s">
        <v>209</v>
      </c>
      <c r="AE22" s="5" t="s">
        <v>202</v>
      </c>
      <c r="AF22" s="5" t="s">
        <v>215</v>
      </c>
    </row>
    <row r="23" spans="15:37" ht="45" x14ac:dyDescent="0.25">
      <c r="AD23" s="5" t="s">
        <v>209</v>
      </c>
      <c r="AE23" s="5" t="s">
        <v>202</v>
      </c>
      <c r="AF23" s="5" t="s">
        <v>215</v>
      </c>
    </row>
    <row r="24" spans="15:37" ht="45" x14ac:dyDescent="0.25">
      <c r="AD24" s="5" t="s">
        <v>209</v>
      </c>
      <c r="AE24" s="5" t="s">
        <v>202</v>
      </c>
      <c r="AF24" s="5" t="s">
        <v>215</v>
      </c>
      <c r="AG24" t="s">
        <v>216</v>
      </c>
      <c r="AH24" t="s">
        <v>205</v>
      </c>
      <c r="AK24" t="s">
        <v>217</v>
      </c>
    </row>
    <row r="25" spans="15:37" ht="45" x14ac:dyDescent="0.25">
      <c r="O25" s="5"/>
      <c r="R25" s="5"/>
      <c r="T25" s="5"/>
      <c r="AD25" s="5" t="s">
        <v>209</v>
      </c>
      <c r="AE25" s="5" t="s">
        <v>202</v>
      </c>
      <c r="AF25" s="5" t="s">
        <v>215</v>
      </c>
      <c r="AG25" t="s">
        <v>216</v>
      </c>
      <c r="AH25" t="s">
        <v>205</v>
      </c>
      <c r="AK25" t="s">
        <v>217</v>
      </c>
    </row>
    <row r="26" spans="15:37" ht="45" x14ac:dyDescent="0.25">
      <c r="O26" s="5"/>
      <c r="R26" s="5"/>
      <c r="T26" s="5"/>
      <c r="AD26" s="5" t="s">
        <v>209</v>
      </c>
      <c r="AE26" s="5" t="s">
        <v>202</v>
      </c>
      <c r="AF26" s="5" t="s">
        <v>215</v>
      </c>
      <c r="AG26" t="s">
        <v>216</v>
      </c>
      <c r="AH26" t="s">
        <v>205</v>
      </c>
      <c r="AK26" t="s">
        <v>217</v>
      </c>
    </row>
    <row r="27" spans="15:37" ht="45" x14ac:dyDescent="0.25">
      <c r="T27" s="5"/>
      <c r="AD27" s="5" t="s">
        <v>209</v>
      </c>
      <c r="AE27" s="5" t="s">
        <v>202</v>
      </c>
      <c r="AF27" s="5" t="s">
        <v>215</v>
      </c>
    </row>
    <row r="28" spans="15:37" ht="45" x14ac:dyDescent="0.25">
      <c r="T28" s="5"/>
      <c r="AD28" s="5" t="s">
        <v>209</v>
      </c>
      <c r="AE28" s="5" t="s">
        <v>202</v>
      </c>
      <c r="AF28" s="5" t="s">
        <v>215</v>
      </c>
    </row>
    <row r="29" spans="15:37" ht="45" x14ac:dyDescent="0.25">
      <c r="T29" s="5"/>
      <c r="AD29" s="5" t="s">
        <v>209</v>
      </c>
      <c r="AE29" s="5" t="s">
        <v>202</v>
      </c>
      <c r="AF29" s="5" t="s">
        <v>215</v>
      </c>
    </row>
    <row r="32" spans="15:37" x14ac:dyDescent="0.25">
      <c r="AE32" t="s">
        <v>207</v>
      </c>
      <c r="AF32">
        <v>43</v>
      </c>
    </row>
    <row r="33" spans="18:36" x14ac:dyDescent="0.25">
      <c r="T33" s="5"/>
      <c r="AE33" t="s">
        <v>207</v>
      </c>
      <c r="AF33">
        <v>44</v>
      </c>
      <c r="AI33" t="s">
        <v>218</v>
      </c>
      <c r="AJ33" t="s">
        <v>207</v>
      </c>
    </row>
    <row r="34" spans="18:36" x14ac:dyDescent="0.25">
      <c r="T34" s="5"/>
      <c r="AE34" t="s">
        <v>207</v>
      </c>
      <c r="AF34">
        <v>45</v>
      </c>
    </row>
    <row r="35" spans="18:36" x14ac:dyDescent="0.25">
      <c r="AI35" t="s">
        <v>200</v>
      </c>
      <c r="AJ35" t="s">
        <v>219</v>
      </c>
    </row>
    <row r="37" spans="18:36" ht="45" x14ac:dyDescent="0.25">
      <c r="R37" s="5"/>
      <c r="T37" s="5"/>
      <c r="AD37" s="5" t="s">
        <v>209</v>
      </c>
      <c r="AE37" s="5" t="s">
        <v>202</v>
      </c>
      <c r="AF37" s="5" t="s">
        <v>220</v>
      </c>
      <c r="AI37" t="s">
        <v>201</v>
      </c>
      <c r="AJ37" t="s">
        <v>221</v>
      </c>
    </row>
    <row r="38" spans="18:36" x14ac:dyDescent="0.25">
      <c r="T38" s="5"/>
      <c r="Z38" s="5"/>
    </row>
    <row r="40" spans="18:36" x14ac:dyDescent="0.25">
      <c r="T40" s="5"/>
      <c r="AE40" t="s">
        <v>207</v>
      </c>
      <c r="AF40">
        <v>66</v>
      </c>
    </row>
    <row r="41" spans="18:36" x14ac:dyDescent="0.25">
      <c r="R41" s="5"/>
      <c r="AE41" t="s">
        <v>207</v>
      </c>
      <c r="AF41">
        <v>68</v>
      </c>
    </row>
    <row r="42" spans="18:36" x14ac:dyDescent="0.25">
      <c r="T42" s="5"/>
    </row>
    <row r="43" spans="18:36" x14ac:dyDescent="0.25">
      <c r="AE43" t="s">
        <v>207</v>
      </c>
      <c r="AF43">
        <v>83</v>
      </c>
      <c r="AG43" t="s">
        <v>211</v>
      </c>
      <c r="AI43" t="s">
        <v>200</v>
      </c>
      <c r="AJ43" t="s">
        <v>219</v>
      </c>
    </row>
    <row r="44" spans="18:36" x14ac:dyDescent="0.25">
      <c r="AE44" t="s">
        <v>207</v>
      </c>
      <c r="AF44">
        <v>89</v>
      </c>
      <c r="AG44" t="s">
        <v>222</v>
      </c>
    </row>
    <row r="45" spans="18:36" x14ac:dyDescent="0.25">
      <c r="T45" s="5"/>
    </row>
    <row r="46" spans="18:36" x14ac:dyDescent="0.25">
      <c r="R46" s="5"/>
    </row>
  </sheetData>
  <autoFilter ref="A10:AL36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K10"/>
  <sheetViews>
    <sheetView workbookViewId="0"/>
  </sheetViews>
  <sheetFormatPr defaultRowHeight="15" x14ac:dyDescent="0.25"/>
  <cols>
    <col min="1" max="1" width="25" customWidth="1"/>
    <col min="2" max="2" width="18.42578125" customWidth="1"/>
    <col min="3" max="3" width="13.7109375" bestFit="1" customWidth="1"/>
    <col min="5" max="5" width="11.7109375" customWidth="1"/>
    <col min="20" max="20" width="24.5703125" bestFit="1" customWidth="1"/>
  </cols>
  <sheetData>
    <row r="1" spans="1:37" x14ac:dyDescent="0.25">
      <c r="A1" s="1" t="s">
        <v>84</v>
      </c>
      <c r="B1">
        <v>8</v>
      </c>
      <c r="C1">
        <v>20</v>
      </c>
    </row>
    <row r="3" spans="1:37" s="11" customFormat="1" x14ac:dyDescent="0.25">
      <c r="B3" s="11" t="s">
        <v>191</v>
      </c>
      <c r="C3" s="11" t="s">
        <v>192</v>
      </c>
      <c r="D3" s="11" t="s">
        <v>193</v>
      </c>
      <c r="E3" s="11" t="s">
        <v>194</v>
      </c>
      <c r="F3" s="11" t="s">
        <v>195</v>
      </c>
    </row>
    <row r="4" spans="1:37" s="9" customFormat="1" x14ac:dyDescent="0.25">
      <c r="A4" s="12" t="s">
        <v>16</v>
      </c>
      <c r="B4" s="9" t="b">
        <v>0</v>
      </c>
      <c r="C4" s="9" t="s">
        <v>188</v>
      </c>
    </row>
    <row r="5" spans="1:37" s="9" customFormat="1" x14ac:dyDescent="0.25">
      <c r="A5" s="12" t="s">
        <v>17</v>
      </c>
      <c r="B5" s="9" t="b">
        <v>0</v>
      </c>
      <c r="C5" s="9" t="s">
        <v>198</v>
      </c>
    </row>
    <row r="6" spans="1:37" s="9" customFormat="1" x14ac:dyDescent="0.25">
      <c r="A6" s="12" t="s">
        <v>37</v>
      </c>
      <c r="B6" s="9" t="b">
        <v>0</v>
      </c>
      <c r="C6" s="9" t="s">
        <v>196</v>
      </c>
      <c r="D6" s="9" t="s">
        <v>197</v>
      </c>
      <c r="E6" s="14"/>
    </row>
    <row r="7" spans="1:37" s="10" customFormat="1" x14ac:dyDescent="0.25">
      <c r="A7" s="13" t="s">
        <v>36</v>
      </c>
      <c r="C7" s="10" t="s">
        <v>187</v>
      </c>
    </row>
    <row r="9" spans="1:37" x14ac:dyDescent="0.25">
      <c r="C9" t="s">
        <v>39</v>
      </c>
      <c r="D9" t="s">
        <v>33</v>
      </c>
      <c r="E9" t="s">
        <v>34</v>
      </c>
      <c r="F9" t="s">
        <v>35</v>
      </c>
      <c r="G9" t="s">
        <v>52</v>
      </c>
      <c r="H9" t="s">
        <v>43</v>
      </c>
      <c r="I9" t="s">
        <v>44</v>
      </c>
      <c r="J9" t="s">
        <v>125</v>
      </c>
      <c r="K9" t="s">
        <v>126</v>
      </c>
      <c r="L9" t="s">
        <v>67</v>
      </c>
      <c r="M9" t="s">
        <v>45</v>
      </c>
      <c r="N9" t="s">
        <v>46</v>
      </c>
      <c r="O9" t="s">
        <v>53</v>
      </c>
      <c r="P9" t="s">
        <v>54</v>
      </c>
      <c r="Q9" t="s">
        <v>55</v>
      </c>
      <c r="R9" t="s">
        <v>47</v>
      </c>
      <c r="S9" t="s">
        <v>48</v>
      </c>
      <c r="T9" t="s">
        <v>49</v>
      </c>
      <c r="U9" t="s">
        <v>50</v>
      </c>
      <c r="V9" t="s">
        <v>40</v>
      </c>
      <c r="W9" t="s">
        <v>57</v>
      </c>
      <c r="X9" t="s">
        <v>145</v>
      </c>
      <c r="Y9" t="s">
        <v>42</v>
      </c>
      <c r="Z9" t="s">
        <v>41</v>
      </c>
      <c r="AA9" t="s">
        <v>51</v>
      </c>
      <c r="AB9" t="s">
        <v>56</v>
      </c>
      <c r="AC9" t="s">
        <v>58</v>
      </c>
      <c r="AD9" t="s">
        <v>78</v>
      </c>
      <c r="AE9" t="s">
        <v>79</v>
      </c>
      <c r="AF9" t="s">
        <v>80</v>
      </c>
      <c r="AG9" t="s">
        <v>152</v>
      </c>
      <c r="AH9" t="s">
        <v>147</v>
      </c>
      <c r="AI9" t="s">
        <v>153</v>
      </c>
      <c r="AJ9" t="s">
        <v>154</v>
      </c>
      <c r="AK9" t="s">
        <v>179</v>
      </c>
    </row>
    <row r="10" spans="1:37" s="1" customFormat="1" x14ac:dyDescent="0.25">
      <c r="A10" s="1" t="s">
        <v>96</v>
      </c>
      <c r="B10" s="1" t="s">
        <v>97</v>
      </c>
      <c r="C10" s="1" t="s">
        <v>155</v>
      </c>
      <c r="D10" s="1" t="s">
        <v>59</v>
      </c>
      <c r="E10" s="1" t="s">
        <v>60</v>
      </c>
      <c r="F10" s="1" t="s">
        <v>61</v>
      </c>
      <c r="G10" s="1" t="s">
        <v>71</v>
      </c>
      <c r="H10" s="1" t="s">
        <v>31</v>
      </c>
      <c r="I10" s="1" t="s">
        <v>95</v>
      </c>
      <c r="J10" s="1" t="s">
        <v>64</v>
      </c>
      <c r="K10" s="1" t="s">
        <v>65</v>
      </c>
      <c r="L10" s="1" t="s">
        <v>66</v>
      </c>
      <c r="M10" s="1" t="s">
        <v>62</v>
      </c>
      <c r="N10" s="1" t="s">
        <v>63</v>
      </c>
      <c r="O10" s="1" t="s">
        <v>16</v>
      </c>
      <c r="P10" s="1" t="s">
        <v>72</v>
      </c>
      <c r="Q10" s="1" t="s">
        <v>73</v>
      </c>
      <c r="R10" s="1" t="s">
        <v>17</v>
      </c>
      <c r="S10" s="1" t="s">
        <v>68</v>
      </c>
      <c r="T10" s="1" t="s">
        <v>37</v>
      </c>
      <c r="U10" s="1" t="s">
        <v>69</v>
      </c>
      <c r="V10" s="1" t="s">
        <v>36</v>
      </c>
      <c r="W10" s="1" t="s">
        <v>75</v>
      </c>
      <c r="X10" s="1" t="s">
        <v>146</v>
      </c>
      <c r="Y10" s="1" t="s">
        <v>76</v>
      </c>
      <c r="Z10" s="1" t="s">
        <v>38</v>
      </c>
      <c r="AA10" s="1" t="s">
        <v>70</v>
      </c>
      <c r="AB10" s="1" t="s">
        <v>74</v>
      </c>
      <c r="AC10" s="1" t="s">
        <v>77</v>
      </c>
      <c r="AD10" s="1" t="s">
        <v>81</v>
      </c>
      <c r="AE10" s="1" t="s">
        <v>82</v>
      </c>
      <c r="AF10" s="1" t="s">
        <v>83</v>
      </c>
      <c r="AG10" s="1" t="s">
        <v>151</v>
      </c>
      <c r="AH10" s="1" t="s">
        <v>148</v>
      </c>
      <c r="AI10" s="1" t="s">
        <v>149</v>
      </c>
      <c r="AJ10" s="1" t="s">
        <v>150</v>
      </c>
      <c r="AK10" s="1" t="s">
        <v>180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7"/>
  <sheetViews>
    <sheetView workbookViewId="0">
      <pane ySplit="106500" topLeftCell="A355"/>
      <selection pane="bottomLeft" activeCell="A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84</v>
      </c>
      <c r="B1">
        <v>21</v>
      </c>
      <c r="C1"/>
      <c r="D1" s="8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4" spans="1:38" x14ac:dyDescent="0.25">
      <c r="B4" t="s">
        <v>176</v>
      </c>
    </row>
    <row r="9" spans="1:38" x14ac:dyDescent="0.25">
      <c r="C9" t="s">
        <v>39</v>
      </c>
      <c r="D9" t="s">
        <v>33</v>
      </c>
      <c r="E9" t="s">
        <v>34</v>
      </c>
      <c r="F9" t="s">
        <v>35</v>
      </c>
      <c r="G9" t="s">
        <v>52</v>
      </c>
      <c r="H9" t="s">
        <v>43</v>
      </c>
      <c r="I9" t="s">
        <v>44</v>
      </c>
      <c r="J9" t="s">
        <v>125</v>
      </c>
      <c r="K9" t="s">
        <v>126</v>
      </c>
      <c r="L9" t="s">
        <v>67</v>
      </c>
      <c r="M9" t="s">
        <v>45</v>
      </c>
      <c r="N9" t="s">
        <v>46</v>
      </c>
      <c r="O9" t="s">
        <v>177</v>
      </c>
      <c r="P9" t="s">
        <v>54</v>
      </c>
      <c r="Q9" t="s">
        <v>55</v>
      </c>
      <c r="R9" t="s">
        <v>47</v>
      </c>
      <c r="S9" t="s">
        <v>48</v>
      </c>
      <c r="T9" t="s">
        <v>49</v>
      </c>
      <c r="U9" t="s">
        <v>50</v>
      </c>
      <c r="V9" t="s">
        <v>40</v>
      </c>
      <c r="W9" t="s">
        <v>57</v>
      </c>
      <c r="X9" t="s">
        <v>145</v>
      </c>
      <c r="Y9" t="s">
        <v>42</v>
      </c>
      <c r="Z9" t="s">
        <v>41</v>
      </c>
      <c r="AA9" t="s">
        <v>51</v>
      </c>
      <c r="AB9" t="s">
        <v>56</v>
      </c>
      <c r="AC9" t="s">
        <v>58</v>
      </c>
      <c r="AD9" t="s">
        <v>78</v>
      </c>
      <c r="AE9" t="s">
        <v>79</v>
      </c>
      <c r="AF9" t="s">
        <v>80</v>
      </c>
      <c r="AG9" t="s">
        <v>152</v>
      </c>
      <c r="AH9" t="s">
        <v>147</v>
      </c>
      <c r="AI9" t="s">
        <v>153</v>
      </c>
      <c r="AJ9" t="s">
        <v>154</v>
      </c>
    </row>
    <row r="10" spans="1:38" s="1" customFormat="1" x14ac:dyDescent="0.25">
      <c r="A10" s="1" t="s">
        <v>96</v>
      </c>
      <c r="B10" s="1" t="s">
        <v>97</v>
      </c>
      <c r="C10" s="1" t="s">
        <v>155</v>
      </c>
      <c r="D10" s="1" t="s">
        <v>59</v>
      </c>
      <c r="E10" s="1" t="s">
        <v>60</v>
      </c>
      <c r="F10" s="1" t="s">
        <v>61</v>
      </c>
      <c r="G10" s="1" t="s">
        <v>71</v>
      </c>
      <c r="H10" s="1" t="s">
        <v>31</v>
      </c>
      <c r="I10" s="1" t="s">
        <v>95</v>
      </c>
      <c r="J10" s="1" t="s">
        <v>64</v>
      </c>
      <c r="K10" s="1" t="s">
        <v>65</v>
      </c>
      <c r="L10" s="1" t="s">
        <v>66</v>
      </c>
      <c r="M10" s="1" t="s">
        <v>62</v>
      </c>
      <c r="N10" s="1" t="s">
        <v>63</v>
      </c>
      <c r="O10" s="1" t="s">
        <v>178</v>
      </c>
      <c r="P10" s="1" t="s">
        <v>72</v>
      </c>
      <c r="Q10" s="1" t="s">
        <v>73</v>
      </c>
      <c r="R10" s="1" t="s">
        <v>17</v>
      </c>
      <c r="S10" s="1" t="s">
        <v>68</v>
      </c>
      <c r="T10" s="1" t="s">
        <v>37</v>
      </c>
      <c r="U10" s="1" t="s">
        <v>69</v>
      </c>
      <c r="V10" s="1" t="s">
        <v>36</v>
      </c>
      <c r="W10" s="1" t="s">
        <v>75</v>
      </c>
      <c r="X10" s="1" t="s">
        <v>146</v>
      </c>
      <c r="Y10" s="1" t="s">
        <v>76</v>
      </c>
      <c r="Z10" s="1" t="s">
        <v>38</v>
      </c>
      <c r="AA10" s="1" t="s">
        <v>70</v>
      </c>
      <c r="AB10" s="1" t="s">
        <v>74</v>
      </c>
      <c r="AC10" s="1" t="s">
        <v>77</v>
      </c>
      <c r="AD10" s="1" t="s">
        <v>81</v>
      </c>
      <c r="AE10" s="1" t="s">
        <v>82</v>
      </c>
      <c r="AF10" s="1" t="s">
        <v>83</v>
      </c>
      <c r="AG10" s="1" t="s">
        <v>151</v>
      </c>
      <c r="AH10" s="1" t="s">
        <v>148</v>
      </c>
      <c r="AI10" s="1" t="s">
        <v>149</v>
      </c>
      <c r="AJ10" s="1" t="s">
        <v>150</v>
      </c>
    </row>
    <row r="11" spans="1:38" s="4" customFormat="1" x14ac:dyDescent="0.25">
      <c r="I11" s="7"/>
    </row>
    <row r="12" spans="1:38" s="4" customFormat="1" x14ac:dyDescent="0.25">
      <c r="I12" s="7"/>
    </row>
    <row r="13" spans="1:38" x14ac:dyDescent="0.25">
      <c r="I13" s="5"/>
    </row>
    <row r="14" spans="1:38" x14ac:dyDescent="0.25">
      <c r="I14" s="5"/>
    </row>
    <row r="15" spans="1:38" x14ac:dyDescent="0.25">
      <c r="I15" s="5"/>
    </row>
    <row r="16" spans="1:38" x14ac:dyDescent="0.25">
      <c r="I16" s="5"/>
    </row>
    <row r="17" spans="9:9" x14ac:dyDescent="0.25">
      <c r="I17" s="5"/>
    </row>
  </sheetData>
  <autoFilter ref="A10:AL36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93"/>
  <sheetViews>
    <sheetView workbookViewId="0"/>
  </sheetViews>
  <sheetFormatPr defaultRowHeight="15" x14ac:dyDescent="0.25"/>
  <cols>
    <col min="1" max="1" width="24.140625" customWidth="1"/>
    <col min="2" max="3" width="11.42578125" bestFit="1" customWidth="1"/>
    <col min="4" max="4" width="30.140625" customWidth="1"/>
    <col min="8" max="8" width="16.28515625" bestFit="1" customWidth="1"/>
    <col min="9" max="9" width="50.5703125" customWidth="1"/>
    <col min="12" max="12" width="9.7109375" bestFit="1" customWidth="1"/>
  </cols>
  <sheetData>
    <row r="1" spans="1:38" s="1" customFormat="1" x14ac:dyDescent="0.25">
      <c r="A1" s="1" t="s">
        <v>84</v>
      </c>
      <c r="B1">
        <v>114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9" spans="1:38" x14ac:dyDescent="0.25">
      <c r="C9" t="s">
        <v>39</v>
      </c>
      <c r="D9" t="s">
        <v>103</v>
      </c>
      <c r="E9" t="s">
        <v>92</v>
      </c>
      <c r="F9" t="s">
        <v>90</v>
      </c>
      <c r="G9" t="s">
        <v>91</v>
      </c>
      <c r="H9" t="s">
        <v>93</v>
      </c>
      <c r="I9" t="s">
        <v>94</v>
      </c>
      <c r="J9" t="s">
        <v>86</v>
      </c>
      <c r="K9" t="s">
        <v>76</v>
      </c>
      <c r="L9" t="s">
        <v>41</v>
      </c>
    </row>
    <row r="10" spans="1:38" s="1" customFormat="1" x14ac:dyDescent="0.25">
      <c r="A10" s="1" t="s">
        <v>85</v>
      </c>
      <c r="B10" s="1" t="s">
        <v>32</v>
      </c>
      <c r="C10" s="1" t="s">
        <v>100</v>
      </c>
      <c r="D10" s="1" t="s">
        <v>101</v>
      </c>
      <c r="E10" s="1" t="s">
        <v>87</v>
      </c>
      <c r="F10" s="1" t="s">
        <v>98</v>
      </c>
      <c r="G10" s="1" t="s">
        <v>99</v>
      </c>
      <c r="H10" s="1" t="s">
        <v>102</v>
      </c>
      <c r="I10" s="1" t="s">
        <v>88</v>
      </c>
      <c r="J10" s="1" t="s">
        <v>89</v>
      </c>
      <c r="K10" s="1" t="s">
        <v>76</v>
      </c>
      <c r="L10" s="1" t="s">
        <v>38</v>
      </c>
    </row>
    <row r="69" spans="9:9" x14ac:dyDescent="0.25">
      <c r="I69" s="5"/>
    </row>
    <row r="70" spans="9:9" x14ac:dyDescent="0.25">
      <c r="I70" s="5"/>
    </row>
    <row r="85" spans="9:9" x14ac:dyDescent="0.25">
      <c r="I85" s="5"/>
    </row>
    <row r="86" spans="9:9" x14ac:dyDescent="0.25">
      <c r="I86" s="5"/>
    </row>
    <row r="87" spans="9:9" x14ac:dyDescent="0.25">
      <c r="I87" s="5"/>
    </row>
    <row r="90" spans="9:9" x14ac:dyDescent="0.25">
      <c r="I90" s="5"/>
    </row>
    <row r="93" spans="9:9" x14ac:dyDescent="0.25">
      <c r="I93" s="5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70"/>
  <sheetViews>
    <sheetView workbookViewId="0"/>
  </sheetViews>
  <sheetFormatPr defaultColWidth="15" defaultRowHeight="15" x14ac:dyDescent="0.25"/>
  <cols>
    <col min="1" max="1" width="23.7109375" customWidth="1"/>
    <col min="10" max="10" width="28.5703125" customWidth="1"/>
  </cols>
  <sheetData>
    <row r="1" spans="1:13" x14ac:dyDescent="0.25">
      <c r="A1" s="1" t="s">
        <v>84</v>
      </c>
      <c r="B1">
        <v>20</v>
      </c>
    </row>
    <row r="9" spans="1:13" x14ac:dyDescent="0.25">
      <c r="C9" t="s">
        <v>39</v>
      </c>
      <c r="D9" t="s">
        <v>103</v>
      </c>
      <c r="E9" t="s">
        <v>104</v>
      </c>
      <c r="F9" t="s">
        <v>105</v>
      </c>
      <c r="G9" t="s">
        <v>106</v>
      </c>
      <c r="H9" t="s">
        <v>107</v>
      </c>
      <c r="I9" t="s">
        <v>108</v>
      </c>
      <c r="J9" t="s">
        <v>94</v>
      </c>
      <c r="K9" t="s">
        <v>86</v>
      </c>
      <c r="L9" t="s">
        <v>76</v>
      </c>
      <c r="M9" t="s">
        <v>41</v>
      </c>
    </row>
    <row r="10" spans="1:13" s="1" customFormat="1" x14ac:dyDescent="0.25">
      <c r="A10" s="1" t="s">
        <v>85</v>
      </c>
      <c r="B10" s="1" t="s">
        <v>32</v>
      </c>
      <c r="C10" s="1" t="s">
        <v>100</v>
      </c>
      <c r="D10" s="1" t="s">
        <v>113</v>
      </c>
      <c r="E10" s="1" t="s">
        <v>112</v>
      </c>
      <c r="F10" s="1" t="s">
        <v>111</v>
      </c>
      <c r="G10" s="1" t="s">
        <v>110</v>
      </c>
      <c r="H10" s="1" t="s">
        <v>109</v>
      </c>
      <c r="I10" s="1" t="s">
        <v>114</v>
      </c>
      <c r="J10" s="1" t="s">
        <v>88</v>
      </c>
      <c r="K10" s="1" t="s">
        <v>89</v>
      </c>
      <c r="L10" s="1" t="s">
        <v>76</v>
      </c>
      <c r="M10" s="1" t="s">
        <v>38</v>
      </c>
    </row>
    <row r="64" spans="10:10" x14ac:dyDescent="0.25">
      <c r="J64" s="5"/>
    </row>
    <row r="65" spans="10:10" x14ac:dyDescent="0.25">
      <c r="J65" s="5"/>
    </row>
    <row r="66" spans="10:10" x14ac:dyDescent="0.25">
      <c r="J66" s="5"/>
    </row>
    <row r="67" spans="10:10" x14ac:dyDescent="0.25">
      <c r="J67" s="5"/>
    </row>
    <row r="68" spans="10:10" x14ac:dyDescent="0.25">
      <c r="J68" s="5"/>
    </row>
    <row r="69" spans="10:10" x14ac:dyDescent="0.25">
      <c r="J69" s="5"/>
    </row>
    <row r="70" spans="10:10" x14ac:dyDescent="0.25">
      <c r="J70" s="5"/>
    </row>
    <row r="71" spans="10:10" x14ac:dyDescent="0.25">
      <c r="J71" s="5"/>
    </row>
    <row r="72" spans="10:10" x14ac:dyDescent="0.25">
      <c r="J72" s="5"/>
    </row>
    <row r="73" spans="10:10" x14ac:dyDescent="0.25">
      <c r="J73" s="5"/>
    </row>
    <row r="74" spans="10:10" x14ac:dyDescent="0.25">
      <c r="J74" s="5"/>
    </row>
    <row r="75" spans="10:10" x14ac:dyDescent="0.25">
      <c r="J75" s="5"/>
    </row>
    <row r="80" spans="10:10" x14ac:dyDescent="0.25">
      <c r="J80" s="5"/>
    </row>
    <row r="163" spans="10:10" x14ac:dyDescent="0.25">
      <c r="J163" s="5"/>
    </row>
    <row r="169" spans="10:10" x14ac:dyDescent="0.25">
      <c r="J169" s="5"/>
    </row>
    <row r="170" spans="10:10" x14ac:dyDescent="0.25">
      <c r="J170" s="5"/>
    </row>
    <row r="171" spans="10:10" x14ac:dyDescent="0.25">
      <c r="J171" s="5"/>
    </row>
    <row r="172" spans="10:10" x14ac:dyDescent="0.25">
      <c r="J172" s="5"/>
    </row>
    <row r="173" spans="10:10" x14ac:dyDescent="0.25">
      <c r="J173" s="5"/>
    </row>
    <row r="174" spans="10:10" x14ac:dyDescent="0.25">
      <c r="J174" s="5"/>
    </row>
    <row r="175" spans="10:10" x14ac:dyDescent="0.25">
      <c r="J175" s="5"/>
    </row>
    <row r="176" spans="10:10" x14ac:dyDescent="0.25">
      <c r="J176" s="5"/>
    </row>
    <row r="177" spans="10:10" x14ac:dyDescent="0.25">
      <c r="J177" s="5"/>
    </row>
    <row r="178" spans="10:10" x14ac:dyDescent="0.25">
      <c r="J178" s="5"/>
    </row>
    <row r="179" spans="10:10" x14ac:dyDescent="0.25">
      <c r="J179" s="5"/>
    </row>
    <row r="181" spans="10:10" x14ac:dyDescent="0.25">
      <c r="J181" s="5"/>
    </row>
    <row r="182" spans="10:10" x14ac:dyDescent="0.25">
      <c r="J182" s="5"/>
    </row>
    <row r="183" spans="10:10" x14ac:dyDescent="0.25">
      <c r="J183" s="5"/>
    </row>
    <row r="184" spans="10:10" x14ac:dyDescent="0.25">
      <c r="J184" s="5"/>
    </row>
    <row r="193" spans="10:10" x14ac:dyDescent="0.25">
      <c r="J193" s="5"/>
    </row>
    <row r="194" spans="10:10" x14ac:dyDescent="0.25">
      <c r="J194" s="5"/>
    </row>
    <row r="195" spans="10:10" x14ac:dyDescent="0.25">
      <c r="J195" s="5"/>
    </row>
    <row r="196" spans="10:10" x14ac:dyDescent="0.25">
      <c r="J196" s="5"/>
    </row>
    <row r="225" spans="10:10" x14ac:dyDescent="0.25">
      <c r="J225" s="5"/>
    </row>
    <row r="227" spans="10:10" x14ac:dyDescent="0.25">
      <c r="J227" s="5"/>
    </row>
    <row r="230" spans="10:10" x14ac:dyDescent="0.25">
      <c r="J230" s="5"/>
    </row>
    <row r="231" spans="10:10" x14ac:dyDescent="0.25">
      <c r="J231" s="5"/>
    </row>
    <row r="233" spans="10:10" x14ac:dyDescent="0.25">
      <c r="J233" s="5"/>
    </row>
    <row r="246" spans="10:10" x14ac:dyDescent="0.25">
      <c r="J246" s="5"/>
    </row>
    <row r="249" spans="10:10" x14ac:dyDescent="0.25">
      <c r="J249" s="5"/>
    </row>
    <row r="258" spans="10:10" x14ac:dyDescent="0.25">
      <c r="J258" s="5"/>
    </row>
    <row r="280" spans="10:10" x14ac:dyDescent="0.25">
      <c r="J280" s="5"/>
    </row>
    <row r="318" spans="10:10" x14ac:dyDescent="0.25">
      <c r="J318" s="5"/>
    </row>
    <row r="321" spans="10:10" x14ac:dyDescent="0.25">
      <c r="J321" s="5"/>
    </row>
    <row r="322" spans="10:10" x14ac:dyDescent="0.25">
      <c r="J322" s="5"/>
    </row>
    <row r="386" spans="10:10" x14ac:dyDescent="0.25">
      <c r="J386" s="5"/>
    </row>
    <row r="469" spans="10:10" x14ac:dyDescent="0.25">
      <c r="J469" s="5"/>
    </row>
    <row r="470" spans="10:10" x14ac:dyDescent="0.25">
      <c r="J470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10"/>
  <sheetViews>
    <sheetView workbookViewId="0"/>
  </sheetViews>
  <sheetFormatPr defaultRowHeight="15" x14ac:dyDescent="0.25"/>
  <cols>
    <col min="1" max="1" width="22.85546875" bestFit="1" customWidth="1"/>
    <col min="2" max="2" width="10.42578125" bestFit="1" customWidth="1"/>
    <col min="3" max="3" width="22.42578125" bestFit="1" customWidth="1"/>
    <col min="4" max="4" width="35.5703125" bestFit="1" customWidth="1"/>
    <col min="5" max="5" width="19" bestFit="1" customWidth="1"/>
    <col min="6" max="6" width="36.85546875" customWidth="1"/>
  </cols>
  <sheetData>
    <row r="1" spans="1:33" s="1" customFormat="1" x14ac:dyDescent="0.25">
      <c r="A1" s="1" t="s">
        <v>84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</row>
    <row r="9" spans="1:33" x14ac:dyDescent="0.25">
      <c r="C9" t="s">
        <v>120</v>
      </c>
      <c r="D9" t="s">
        <v>122</v>
      </c>
      <c r="E9" t="s">
        <v>123</v>
      </c>
      <c r="F9" t="s">
        <v>124</v>
      </c>
      <c r="G9" t="s">
        <v>121</v>
      </c>
    </row>
    <row r="10" spans="1:33" x14ac:dyDescent="0.25">
      <c r="A10" s="1" t="s">
        <v>96</v>
      </c>
      <c r="B10" s="1" t="s">
        <v>97</v>
      </c>
      <c r="C10" s="1" t="s">
        <v>115</v>
      </c>
      <c r="D10" s="1" t="s">
        <v>117</v>
      </c>
      <c r="E10" s="1" t="s">
        <v>116</v>
      </c>
      <c r="F10" s="1" t="s">
        <v>118</v>
      </c>
      <c r="G10" s="1" t="s">
        <v>119</v>
      </c>
      <c r="H10" s="1"/>
      <c r="I10" s="1"/>
      <c r="J10" s="1"/>
      <c r="K10" s="1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0"/>
  <sheetViews>
    <sheetView workbookViewId="0"/>
  </sheetViews>
  <sheetFormatPr defaultRowHeight="15" x14ac:dyDescent="0.25"/>
  <cols>
    <col min="1" max="1" width="22.85546875" bestFit="1" customWidth="1"/>
    <col min="2" max="2" width="15.28515625" bestFit="1" customWidth="1"/>
    <col min="3" max="3" width="22.42578125" bestFit="1" customWidth="1"/>
    <col min="4" max="4" width="18.85546875" bestFit="1" customWidth="1"/>
    <col min="5" max="5" width="18.140625" bestFit="1" customWidth="1"/>
  </cols>
  <sheetData>
    <row r="1" spans="1:30" s="1" customFormat="1" x14ac:dyDescent="0.25">
      <c r="A1" s="1" t="s">
        <v>84</v>
      </c>
      <c r="B1">
        <v>20</v>
      </c>
      <c r="C1">
        <v>5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9" spans="1:30" x14ac:dyDescent="0.25">
      <c r="C9" t="s">
        <v>130</v>
      </c>
      <c r="D9" t="s">
        <v>121</v>
      </c>
      <c r="E9" t="s">
        <v>133</v>
      </c>
    </row>
    <row r="10" spans="1:30" x14ac:dyDescent="0.25">
      <c r="A10" s="1" t="s">
        <v>127</v>
      </c>
      <c r="B10" s="1" t="s">
        <v>128</v>
      </c>
      <c r="C10" s="1" t="s">
        <v>129</v>
      </c>
      <c r="D10" s="1" t="s">
        <v>131</v>
      </c>
      <c r="E10" s="1" t="s">
        <v>132</v>
      </c>
      <c r="F10" s="1"/>
      <c r="G10" s="1"/>
      <c r="H10" s="1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0"/>
  <sheetViews>
    <sheetView workbookViewId="0"/>
  </sheetViews>
  <sheetFormatPr defaultRowHeight="15" x14ac:dyDescent="0.25"/>
  <cols>
    <col min="1" max="1" width="24.5703125" customWidth="1"/>
    <col min="2" max="2" width="11.85546875" customWidth="1"/>
    <col min="3" max="7" width="18.7109375" customWidth="1"/>
  </cols>
  <sheetData>
    <row r="1" spans="1:11" x14ac:dyDescent="0.25">
      <c r="A1" s="1" t="s">
        <v>84</v>
      </c>
      <c r="B1">
        <v>5</v>
      </c>
    </row>
    <row r="9" spans="1:11" x14ac:dyDescent="0.25">
      <c r="C9" t="s">
        <v>134</v>
      </c>
      <c r="D9" t="s">
        <v>135</v>
      </c>
      <c r="E9" t="s">
        <v>121</v>
      </c>
    </row>
    <row r="10" spans="1:11" x14ac:dyDescent="0.25">
      <c r="A10" s="1" t="s">
        <v>96</v>
      </c>
      <c r="B10" s="1" t="s">
        <v>97</v>
      </c>
      <c r="C10" s="1" t="s">
        <v>62</v>
      </c>
      <c r="D10" s="1" t="s">
        <v>63</v>
      </c>
      <c r="E10" s="1" t="s">
        <v>131</v>
      </c>
      <c r="F10" s="1"/>
      <c r="H10" s="1"/>
      <c r="I10" s="1"/>
      <c r="J10" s="1"/>
      <c r="K10" s="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2"/>
  <sheetViews>
    <sheetView workbookViewId="0">
      <selection activeCell="B2" sqref="B2"/>
    </sheetView>
  </sheetViews>
  <sheetFormatPr defaultRowHeight="15" x14ac:dyDescent="0.25"/>
  <cols>
    <col min="1" max="1" width="12.42578125" style="1" bestFit="1" customWidth="1"/>
    <col min="2" max="2" width="136.42578125" customWidth="1"/>
    <col min="3" max="3" width="32.140625" customWidth="1"/>
  </cols>
  <sheetData>
    <row r="1" spans="1:2" ht="21" customHeight="1" x14ac:dyDescent="0.25">
      <c r="A1" s="1" t="s">
        <v>189</v>
      </c>
    </row>
    <row r="2" spans="1:2" x14ac:dyDescent="0.25">
      <c r="A2" s="1" t="s">
        <v>190</v>
      </c>
      <c r="B2" s="5"/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21"/>
  <sheetViews>
    <sheetView tabSelected="1" workbookViewId="0"/>
  </sheetViews>
  <sheetFormatPr defaultRowHeight="15" x14ac:dyDescent="0.25"/>
  <cols>
    <col min="1" max="1" width="13.140625" customWidth="1"/>
    <col min="2" max="2" width="30" bestFit="1" customWidth="1"/>
    <col min="3" max="3" width="94" bestFit="1" customWidth="1"/>
  </cols>
  <sheetData>
    <row r="1" spans="1:3" s="6" customFormat="1" ht="21" x14ac:dyDescent="0.35">
      <c r="A1" s="6" t="s">
        <v>144</v>
      </c>
    </row>
    <row r="2" spans="1:3" s="3" customFormat="1" x14ac:dyDescent="0.25">
      <c r="A2" s="3" t="s">
        <v>13</v>
      </c>
      <c r="B2" s="3" t="s">
        <v>14</v>
      </c>
      <c r="C2" s="3" t="s">
        <v>15</v>
      </c>
    </row>
    <row r="3" spans="1:3" x14ac:dyDescent="0.25">
      <c r="A3" t="s">
        <v>20</v>
      </c>
      <c r="B3" t="s">
        <v>185</v>
      </c>
      <c r="C3" t="s">
        <v>21</v>
      </c>
    </row>
    <row r="4" spans="1:3" x14ac:dyDescent="0.25">
      <c r="A4" t="s">
        <v>1</v>
      </c>
      <c r="B4" t="s">
        <v>186</v>
      </c>
      <c r="C4" t="s">
        <v>22</v>
      </c>
    </row>
    <row r="5" spans="1:3" x14ac:dyDescent="0.25">
      <c r="A5" t="s">
        <v>19</v>
      </c>
      <c r="B5" t="s">
        <v>223</v>
      </c>
      <c r="C5" t="s">
        <v>28</v>
      </c>
    </row>
    <row r="6" spans="1:3" x14ac:dyDescent="0.25">
      <c r="A6" t="s">
        <v>3</v>
      </c>
      <c r="B6" t="s">
        <v>6</v>
      </c>
      <c r="C6" t="s">
        <v>23</v>
      </c>
    </row>
    <row r="7" spans="1:3" x14ac:dyDescent="0.25">
      <c r="A7" t="s">
        <v>2</v>
      </c>
      <c r="B7" t="s">
        <v>181</v>
      </c>
      <c r="C7" t="s">
        <v>18</v>
      </c>
    </row>
    <row r="8" spans="1:3" ht="15.75" customHeight="1" x14ac:dyDescent="0.25"/>
    <row r="9" spans="1:3" s="6" customFormat="1" ht="21" x14ac:dyDescent="0.35">
      <c r="A9" s="6" t="s">
        <v>143</v>
      </c>
    </row>
    <row r="10" spans="1:3" s="3" customFormat="1" x14ac:dyDescent="0.25">
      <c r="A10" s="3" t="s">
        <v>13</v>
      </c>
      <c r="B10" s="3" t="s">
        <v>14</v>
      </c>
      <c r="C10" s="3" t="s">
        <v>15</v>
      </c>
    </row>
    <row r="11" spans="1:3" ht="14.25" customHeight="1" x14ac:dyDescent="0.25">
      <c r="A11" t="s">
        <v>20</v>
      </c>
      <c r="B11" t="s">
        <v>185</v>
      </c>
      <c r="C11" t="s">
        <v>26</v>
      </c>
    </row>
    <row r="12" spans="1:3" ht="14.25" customHeight="1" x14ac:dyDescent="0.25">
      <c r="A12" t="s">
        <v>25</v>
      </c>
      <c r="B12" t="s">
        <v>186</v>
      </c>
      <c r="C12" t="s">
        <v>27</v>
      </c>
    </row>
    <row r="13" spans="1:3" x14ac:dyDescent="0.25">
      <c r="A13" t="s">
        <v>19</v>
      </c>
      <c r="B13" t="s">
        <v>223</v>
      </c>
      <c r="C13" t="s">
        <v>28</v>
      </c>
    </row>
    <row r="21" spans="1:1" x14ac:dyDescent="0.25">
      <c r="A21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Request</vt:lpstr>
      <vt:lpstr>Ticket Status</vt:lpstr>
      <vt:lpstr>Devices</vt:lpstr>
      <vt:lpstr>Rules</vt:lpstr>
      <vt:lpstr>Policy Analysis</vt:lpstr>
      <vt:lpstr>NAT Rules</vt:lpstr>
      <vt:lpstr>Network Objects</vt:lpstr>
      <vt:lpstr>Services</vt:lpstr>
      <vt:lpstr>Cisco ACL Stats</vt:lpstr>
      <vt:lpstr>Check Point Policy Stats</vt:lpstr>
      <vt:lpstr>Zone Based Firewall Stats</vt:lpstr>
      <vt:lpstr>Debug</vt:lpstr>
      <vt:lpstr>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Reuven</dc:creator>
  <cp:lastModifiedBy>Reuven Harrison</cp:lastModifiedBy>
  <dcterms:created xsi:type="dcterms:W3CDTF">2013-06-19T12:24:44Z</dcterms:created>
  <dcterms:modified xsi:type="dcterms:W3CDTF">2016-06-10T10:17:59Z</dcterms:modified>
</cp:coreProperties>
</file>